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mrShaabanHPVictus\Desktop\data_analysis\projects\misuo_dashboard_dataanalysis\"/>
    </mc:Choice>
  </mc:AlternateContent>
  <xr:revisionPtr revIDLastSave="0" documentId="13_ncr:1_{9F3C4354-8170-4598-A468-9CE4B58B0367}" xr6:coauthVersionLast="47" xr6:coauthVersionMax="47" xr10:uidLastSave="{00000000-0000-0000-0000-000000000000}"/>
  <bookViews>
    <workbookView xWindow="-108" yWindow="-108" windowWidth="23256" windowHeight="12456" activeTab="3" xr2:uid="{00000000-000D-0000-FFFF-FFFF00000000}"/>
  </bookViews>
  <sheets>
    <sheet name="الارشادات" sheetId="3" r:id="rId1"/>
    <sheet name="البيانات" sheetId="1" r:id="rId2"/>
    <sheet name="Pivot tables" sheetId="6" r:id="rId3"/>
    <sheet name="dashboard" sheetId="7" r:id="rId4"/>
    <sheet name="البيانات (2)" sheetId="4" r:id="rId5"/>
    <sheet name="Sheet1" sheetId="5" r:id="rId6"/>
  </sheets>
  <definedNames>
    <definedName name="_xlnm._FilterDatabase" localSheetId="1" hidden="1">البيانات!$A$1:$X$88</definedName>
    <definedName name="_xlnm._FilterDatabase" localSheetId="4" hidden="1">'البيانات (2)'!$A$1:$T$88</definedName>
    <definedName name="Slicer_Column1">#N/A</definedName>
    <definedName name="Slicer_الحالة1">#N/A</definedName>
    <definedName name="Slicer_المدينة">#N/A</definedName>
    <definedName name="ء28">dashboard!$N$13</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1" l="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V2" i="1" a="1"/>
  <c r="V2" i="1" s="1"/>
  <c r="V3" i="1" a="1"/>
  <c r="V3" i="1" s="1"/>
  <c r="V4" i="1" a="1"/>
  <c r="V4" i="1" s="1"/>
  <c r="V5" i="1" a="1"/>
  <c r="V5" i="1" s="1"/>
  <c r="V6" i="1" a="1"/>
  <c r="V6" i="1" s="1"/>
  <c r="V7" i="1" a="1"/>
  <c r="V7" i="1" s="1"/>
  <c r="V8" i="1" a="1"/>
  <c r="V8" i="1" s="1"/>
  <c r="V9" i="1" a="1"/>
  <c r="V9" i="1" s="1"/>
  <c r="V10" i="1" a="1"/>
  <c r="V10" i="1"/>
  <c r="V11" i="1" a="1"/>
  <c r="V11" i="1"/>
  <c r="V12" i="1" a="1"/>
  <c r="V12" i="1"/>
  <c r="V13" i="1" a="1"/>
  <c r="V13" i="1" s="1"/>
  <c r="V14" i="1" a="1"/>
  <c r="V14" i="1" s="1"/>
  <c r="V15" i="1" a="1"/>
  <c r="V15" i="1" s="1"/>
  <c r="V16" i="1" a="1"/>
  <c r="V16" i="1"/>
  <c r="V17" i="1" a="1"/>
  <c r="V17" i="1" s="1"/>
  <c r="V18" i="1" a="1"/>
  <c r="V18" i="1"/>
  <c r="V19" i="1" a="1"/>
  <c r="V19" i="1"/>
  <c r="V20" i="1" a="1"/>
  <c r="V20" i="1" s="1"/>
  <c r="V21" i="1" a="1"/>
  <c r="V21" i="1"/>
  <c r="V22" i="1" a="1"/>
  <c r="V22" i="1"/>
  <c r="V23" i="1" a="1"/>
  <c r="V23" i="1" s="1"/>
  <c r="V24" i="1" a="1"/>
  <c r="V24" i="1" s="1"/>
  <c r="V25" i="1" a="1"/>
  <c r="V25" i="1" s="1"/>
  <c r="V26" i="1" a="1"/>
  <c r="V26" i="1" s="1"/>
  <c r="V27" i="1" a="1"/>
  <c r="V27" i="1" s="1"/>
  <c r="V28" i="1" a="1"/>
  <c r="V28" i="1" s="1"/>
  <c r="V29" i="1" a="1"/>
  <c r="V29" i="1"/>
  <c r="V30" i="1" a="1"/>
  <c r="V30" i="1"/>
  <c r="V31" i="1" a="1"/>
  <c r="V31" i="1" s="1"/>
  <c r="V32" i="1" a="1"/>
  <c r="V32" i="1"/>
  <c r="V33" i="1" a="1"/>
  <c r="V33" i="1" s="1"/>
  <c r="V34" i="1" a="1"/>
  <c r="V34" i="1"/>
  <c r="V35" i="1" a="1"/>
  <c r="V35" i="1" s="1"/>
  <c r="V36" i="1" a="1"/>
  <c r="V36" i="1"/>
  <c r="V37" i="1" a="1"/>
  <c r="V37" i="1" s="1"/>
  <c r="V38" i="1" a="1"/>
  <c r="V38" i="1"/>
  <c r="V39" i="1" a="1"/>
  <c r="V39" i="1" s="1"/>
  <c r="V40" i="1" a="1"/>
  <c r="V40" i="1" s="1"/>
  <c r="V41" i="1" a="1"/>
  <c r="V41" i="1"/>
  <c r="V42" i="1" a="1"/>
  <c r="V42" i="1" s="1"/>
  <c r="V43" i="1" a="1"/>
  <c r="V43" i="1" s="1"/>
  <c r="V44" i="1" a="1"/>
  <c r="V44" i="1" s="1"/>
  <c r="V45" i="1" a="1"/>
  <c r="V45" i="1" s="1"/>
  <c r="V46" i="1" a="1"/>
  <c r="V46" i="1" s="1"/>
  <c r="V47" i="1" a="1"/>
  <c r="V47" i="1"/>
  <c r="V48" i="1" a="1"/>
  <c r="V48" i="1" s="1"/>
  <c r="V49" i="1" a="1"/>
  <c r="V49" i="1"/>
  <c r="V50" i="1" a="1"/>
  <c r="V50" i="1" s="1"/>
  <c r="V51" i="1" a="1"/>
  <c r="V51" i="1"/>
  <c r="V52" i="1" a="1"/>
  <c r="V52" i="1" s="1"/>
  <c r="V53" i="1" a="1"/>
  <c r="V53" i="1" s="1"/>
  <c r="V54" i="1" a="1"/>
  <c r="V54" i="1"/>
  <c r="V55" i="1" a="1"/>
  <c r="V55" i="1" s="1"/>
  <c r="V56" i="1" a="1"/>
  <c r="V56" i="1"/>
  <c r="V57" i="1" a="1"/>
  <c r="V57" i="1" s="1"/>
  <c r="V58" i="1" a="1"/>
  <c r="V58" i="1"/>
  <c r="V59" i="1" a="1"/>
  <c r="V59" i="1" s="1"/>
  <c r="V60" i="1" a="1"/>
  <c r="V60" i="1"/>
  <c r="V61" i="1" a="1"/>
  <c r="V61" i="1" s="1"/>
  <c r="V62" i="1" a="1"/>
  <c r="V62" i="1"/>
  <c r="V63" i="1" a="1"/>
  <c r="V63" i="1" s="1"/>
  <c r="V64" i="1" a="1"/>
  <c r="V64" i="1" s="1"/>
  <c r="V65" i="1" a="1"/>
  <c r="V65" i="1" s="1"/>
  <c r="V66" i="1" a="1"/>
  <c r="V66" i="1"/>
  <c r="V67" i="1" a="1"/>
  <c r="V67" i="1"/>
  <c r="V68" i="1" a="1"/>
  <c r="V68" i="1" s="1"/>
  <c r="V69" i="1" a="1"/>
  <c r="V69" i="1" s="1"/>
  <c r="V70" i="1" a="1"/>
  <c r="V70" i="1" s="1"/>
  <c r="V71" i="1" a="1"/>
  <c r="V71" i="1"/>
  <c r="V72" i="1" a="1"/>
  <c r="V72" i="1" s="1"/>
  <c r="V73" i="1" a="1"/>
  <c r="V73" i="1" s="1"/>
  <c r="V74" i="1" a="1"/>
  <c r="V74" i="1" s="1"/>
  <c r="V75" i="1" a="1"/>
  <c r="V75" i="1" s="1"/>
  <c r="V76" i="1" a="1"/>
  <c r="V76" i="1"/>
  <c r="V77" i="1" a="1"/>
  <c r="V77" i="1" s="1"/>
  <c r="V78" i="1" a="1"/>
  <c r="V78" i="1"/>
  <c r="V79" i="1" a="1"/>
  <c r="V79" i="1"/>
  <c r="V80" i="1" a="1"/>
  <c r="V80" i="1"/>
  <c r="V81" i="1" a="1"/>
  <c r="V81" i="1" s="1"/>
  <c r="V82" i="1" a="1"/>
  <c r="V82" i="1" s="1"/>
  <c r="V83" i="1" a="1"/>
  <c r="V83" i="1" s="1"/>
  <c r="V84" i="1" a="1"/>
  <c r="V84" i="1"/>
  <c r="V85" i="1" a="1"/>
  <c r="V85" i="1" s="1"/>
  <c r="V86" i="1" a="1"/>
  <c r="V86" i="1"/>
  <c r="V87" i="1" a="1"/>
  <c r="V87" i="1" s="1"/>
  <c r="V88" i="1" a="1"/>
  <c r="V88" i="1"/>
  <c r="V89" i="1" a="1"/>
  <c r="V89" i="1" s="1"/>
  <c r="V90" i="1" a="1"/>
  <c r="V90" i="1"/>
  <c r="V91" i="1" a="1"/>
  <c r="V91" i="1"/>
  <c r="V92" i="1" a="1"/>
  <c r="V92" i="1" s="1"/>
  <c r="V93" i="1" a="1"/>
  <c r="V93" i="1" s="1"/>
  <c r="V94" i="1" a="1"/>
  <c r="V94" i="1" s="1"/>
  <c r="V95" i="1" a="1"/>
  <c r="V95" i="1" s="1"/>
  <c r="V96" i="1" a="1"/>
  <c r="V96" i="1" s="1"/>
  <c r="V97" i="1" a="1"/>
  <c r="V97" i="1"/>
  <c r="V98" i="1" a="1"/>
  <c r="V98" i="1"/>
  <c r="V99" i="1" a="1"/>
  <c r="V99" i="1"/>
  <c r="V100" i="1" a="1"/>
  <c r="V100" i="1" s="1"/>
  <c r="V101" i="1" a="1"/>
  <c r="V101" i="1"/>
  <c r="V102" i="1" a="1"/>
  <c r="V102" i="1"/>
  <c r="V103" i="1" a="1"/>
  <c r="V103" i="1" s="1"/>
  <c r="V104" i="1" a="1"/>
  <c r="V104" i="1"/>
  <c r="V105" i="1" a="1"/>
  <c r="V105" i="1" s="1"/>
  <c r="V106" i="1" a="1"/>
  <c r="V106" i="1" s="1"/>
  <c r="V107" i="1" a="1"/>
  <c r="V107" i="1"/>
  <c r="V108" i="1" a="1"/>
  <c r="V108" i="1" s="1"/>
  <c r="V109" i="1" a="1"/>
  <c r="V109" i="1"/>
  <c r="V110" i="1" a="1"/>
  <c r="V110" i="1"/>
  <c r="V111" i="1" a="1"/>
  <c r="V111" i="1"/>
  <c r="V112" i="1" a="1"/>
  <c r="V112" i="1" s="1"/>
  <c r="V113" i="1" a="1"/>
  <c r="V113" i="1" s="1"/>
  <c r="V114" i="1" a="1"/>
  <c r="V114" i="1" s="1"/>
  <c r="V115" i="1" a="1"/>
  <c r="V115" i="1" s="1"/>
  <c r="V116" i="1" a="1"/>
  <c r="V116" i="1"/>
  <c r="V117" i="1" a="1"/>
  <c r="V117" i="1" s="1"/>
  <c r="V118" i="1" a="1"/>
  <c r="V118" i="1"/>
  <c r="V119" i="1" a="1"/>
  <c r="V119" i="1" s="1"/>
  <c r="V120" i="1" a="1"/>
  <c r="V120" i="1" s="1"/>
  <c r="V121" i="1" a="1"/>
  <c r="V121" i="1"/>
  <c r="V122" i="1" a="1"/>
  <c r="V122" i="1"/>
  <c r="V123" i="1" a="1"/>
  <c r="V123" i="1" s="1"/>
  <c r="V124" i="1" a="1"/>
  <c r="V124" i="1" s="1"/>
  <c r="V125" i="1" a="1"/>
  <c r="V125" i="1" s="1"/>
  <c r="V126" i="1" a="1"/>
  <c r="V126" i="1" s="1"/>
  <c r="V127" i="1" a="1"/>
  <c r="V127"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L12" i="6"/>
  <c r="G12" i="6"/>
  <c r="D18" i="6"/>
  <c r="D1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E844E3-4B89-44EE-A1DE-BB4F265A0641}" keepAlive="1" name="Query - Table1" description="Connection to the 'Table1' query in the workbook." type="5" refreshedVersion="0"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<sst xmlns="http://schemas.openxmlformats.org/spreadsheetml/2006/main" count="3254" uniqueCount="439">
  <si>
    <t>أسم العميل</t>
  </si>
  <si>
    <t>العنوان</t>
  </si>
  <si>
    <t>المنتج</t>
  </si>
  <si>
    <t>تاريخ التسليم</t>
  </si>
  <si>
    <t>المسئول عن التسليم</t>
  </si>
  <si>
    <t>م</t>
  </si>
  <si>
    <t xml:space="preserve">منصة البيع </t>
  </si>
  <si>
    <t>هومزمارت</t>
  </si>
  <si>
    <t xml:space="preserve">سعر البيع </t>
  </si>
  <si>
    <t xml:space="preserve">طريقه الدفع </t>
  </si>
  <si>
    <t>ميعاد التسليم</t>
  </si>
  <si>
    <t>ميعاد الطلب</t>
  </si>
  <si>
    <t xml:space="preserve">خالد عبد القوى </t>
  </si>
  <si>
    <t>العجوزه - الجيزه</t>
  </si>
  <si>
    <t xml:space="preserve">سرير منطبق الحديد ابيض والقماش ابيض </t>
  </si>
  <si>
    <t>مسبق الدفع</t>
  </si>
  <si>
    <t>27\7\2024</t>
  </si>
  <si>
    <t>محمود</t>
  </si>
  <si>
    <t>سموحه - اسكندريه</t>
  </si>
  <si>
    <t xml:space="preserve">سرير منطبق اسود والقماش اسود </t>
  </si>
  <si>
    <t>28\7\2024</t>
  </si>
  <si>
    <t>سعيد</t>
  </si>
  <si>
    <t xml:space="preserve">سيدى عبد الرحمن - الساحل الشمالى </t>
  </si>
  <si>
    <t xml:space="preserve">سرير كيفينج مقاس 90 لون ازرق </t>
  </si>
  <si>
    <t>ساندرا</t>
  </si>
  <si>
    <t xml:space="preserve">الغردقه </t>
  </si>
  <si>
    <t xml:space="preserve">ترابيزه قهوه متحركه </t>
  </si>
  <si>
    <t xml:space="preserve">تم التسليم عن طريق شركه شحن </t>
  </si>
  <si>
    <t xml:space="preserve">زينا </t>
  </si>
  <si>
    <t xml:space="preserve">سرير نوفال متر رمادى </t>
  </si>
  <si>
    <t xml:space="preserve">شيك هومز </t>
  </si>
  <si>
    <t xml:space="preserve">كنبه سرير رمادى </t>
  </si>
  <si>
    <t xml:space="preserve">احمد </t>
  </si>
  <si>
    <t>التجمع الخامس</t>
  </si>
  <si>
    <t>فيس بوك</t>
  </si>
  <si>
    <t xml:space="preserve">تم تسليم العميل عن طريق شركه شحن </t>
  </si>
  <si>
    <t xml:space="preserve">فشل التسليم </t>
  </si>
  <si>
    <t>yilmaz</t>
  </si>
  <si>
    <t xml:space="preserve">٦ اكتوبر الجيزه </t>
  </si>
  <si>
    <t xml:space="preserve">سرير فردى ابيض </t>
  </si>
  <si>
    <t xml:space="preserve">تاكى </t>
  </si>
  <si>
    <t>العباسيه</t>
  </si>
  <si>
    <t>تاكى</t>
  </si>
  <si>
    <t xml:space="preserve">ركنه </t>
  </si>
  <si>
    <t>٢ كنبه سحاره بمخدع</t>
  </si>
  <si>
    <t xml:space="preserve">العباسيه </t>
  </si>
  <si>
    <t xml:space="preserve">٢ كنبه سحاره بدون مخدع </t>
  </si>
  <si>
    <t xml:space="preserve">على رشوان </t>
  </si>
  <si>
    <t>مصر الجديده</t>
  </si>
  <si>
    <t>سرير نوفال ابيض مقاس ٨٠</t>
  </si>
  <si>
    <t xml:space="preserve">سرير كينج ابيض </t>
  </si>
  <si>
    <t>شيك هومز</t>
  </si>
  <si>
    <t xml:space="preserve">سرير كينج اسود </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</si>
  <si>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</si>
  <si>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</si>
  <si>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</si>
  <si>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</si>
  <si>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</si>
  <si>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</si>
  <si>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 xml:space="preserve">سرير كينج ابيض مقاس ٨٠ التصميم الجديد </t>
  </si>
  <si>
    <t xml:space="preserve">لينا </t>
  </si>
  <si>
    <t xml:space="preserve">المقطم </t>
  </si>
  <si>
    <t xml:space="preserve">ترابيزه قهوه علويه جديده </t>
  </si>
  <si>
    <t xml:space="preserve">٢ فوتيه فنيسيا </t>
  </si>
  <si>
    <t xml:space="preserve">احمد فخرى </t>
  </si>
  <si>
    <t>سرير فردى خشب موسكى الحديد ابيض مقاس ٨٠</t>
  </si>
  <si>
    <t>القاهره الجديده</t>
  </si>
  <si>
    <t>٤سرير فردى خشب موسكى الحديد ابيض مقاس ٨٠</t>
  </si>
  <si>
    <t>حسن حازم</t>
  </si>
  <si>
    <t>سرير اسبانى ابيض ١٢٠</t>
  </si>
  <si>
    <t xml:space="preserve">رنا </t>
  </si>
  <si>
    <t xml:space="preserve">القطاميه </t>
  </si>
  <si>
    <t xml:space="preserve">على السيد </t>
  </si>
  <si>
    <t xml:space="preserve">الشروق القاهره </t>
  </si>
  <si>
    <t xml:space="preserve">هشام بسيونى </t>
  </si>
  <si>
    <t xml:space="preserve">حدايق الاهرام </t>
  </si>
  <si>
    <t xml:space="preserve">سرير نوفال  ٩٠ اسود </t>
  </si>
  <si>
    <t xml:space="preserve">            ٢ سرير كيفنج ١٠٠ اسود </t>
  </si>
  <si>
    <t>عبير نور الدين</t>
  </si>
  <si>
    <t xml:space="preserve">١٨ شارع البحيري بولاق الدكرور الجيزه </t>
  </si>
  <si>
    <t xml:space="preserve">سرير ٣ ادورا اسود مقاس ١٠٠ </t>
  </si>
  <si>
    <t>اوسكار راتن</t>
  </si>
  <si>
    <t xml:space="preserve">مخزن اوسكار في القناطر </t>
  </si>
  <si>
    <t>حساب شركه</t>
  </si>
  <si>
    <t xml:space="preserve">٢ سرير ارفيل ١٢٠ اسود </t>
  </si>
  <si>
    <t>٢ سريرفورجينا خشب موسكى ابيض مقاس ١٢٠</t>
  </si>
  <si>
    <t>الشروق</t>
  </si>
  <si>
    <t xml:space="preserve">ساره وجيه </t>
  </si>
  <si>
    <t xml:space="preserve">سرير كيفنج دورين مقاس ٨٠ ابيض </t>
  </si>
  <si>
    <t xml:space="preserve">سرير ٣ ادوار ابيض مقاس ٨٠ ابيض </t>
  </si>
  <si>
    <t xml:space="preserve">مها </t>
  </si>
  <si>
    <t xml:space="preserve">لافيستا العين السخنه </t>
  </si>
  <si>
    <t>سرير استيل ازرق مقاس ١٤٠</t>
  </si>
  <si>
    <t xml:space="preserve">اسراء ابو العنين </t>
  </si>
  <si>
    <t>سرير اسبانى اسود مقاس ١٢٠</t>
  </si>
  <si>
    <t xml:space="preserve">بسام الشربينى </t>
  </si>
  <si>
    <t xml:space="preserve">سرير كينج ١٢٠ بنفسجى </t>
  </si>
  <si>
    <t>وائل صادق</t>
  </si>
  <si>
    <t xml:space="preserve">سرير كوين مقاس ١٤٠ دهبي ورمادى </t>
  </si>
  <si>
    <t xml:space="preserve">هبه عبد الفتاح </t>
  </si>
  <si>
    <t xml:space="preserve">القاهره الجديده </t>
  </si>
  <si>
    <t xml:space="preserve">كنبه سرير ٤ حركه </t>
  </si>
  <si>
    <t xml:space="preserve">حاتم العيسوي </t>
  </si>
  <si>
    <t>سرير منطبق اسود حديد وقماش</t>
  </si>
  <si>
    <t>صفاء</t>
  </si>
  <si>
    <t>المعادى</t>
  </si>
  <si>
    <t xml:space="preserve">اسراء ابراهيم </t>
  </si>
  <si>
    <t xml:space="preserve">ملغى </t>
  </si>
  <si>
    <t xml:space="preserve">طارق كمال </t>
  </si>
  <si>
    <t xml:space="preserve">سرير ٣ ادوار اسود مقاس ٩٠ </t>
  </si>
  <si>
    <t xml:space="preserve">مصطفي غنيم </t>
  </si>
  <si>
    <t xml:space="preserve">اسيوط </t>
  </si>
  <si>
    <t xml:space="preserve">سرير كيفنج دورين مقاس ١٢٠ رمادى </t>
  </si>
  <si>
    <t xml:space="preserve">مسبق الدفع </t>
  </si>
  <si>
    <t>حسام عبدون</t>
  </si>
  <si>
    <t>الغردقه</t>
  </si>
  <si>
    <t xml:space="preserve">اياد </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</si>
  <si>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</si>
  <si>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</si>
  <si>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</si>
  <si>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</si>
  <si>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</si>
  <si>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</si>
  <si>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</si>
  <si>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رامى </t>
  </si>
  <si>
    <t xml:space="preserve">سرير نوفال ١٠٠ رمادى </t>
  </si>
  <si>
    <t xml:space="preserve">احمد خالد </t>
  </si>
  <si>
    <t>الرحاب</t>
  </si>
  <si>
    <t xml:space="preserve"> ٢. سرير فورجينا ابيض مقاس ١٢٠</t>
  </si>
  <si>
    <t>ساره</t>
  </si>
  <si>
    <t xml:space="preserve">   ٢. سرير اسبانى ابيض ١٢٠</t>
  </si>
  <si>
    <t>رحاب</t>
  </si>
  <si>
    <t xml:space="preserve">احمد ايمن </t>
  </si>
  <si>
    <t>العبور</t>
  </si>
  <si>
    <t xml:space="preserve">فؤاد المنسي </t>
  </si>
  <si>
    <t xml:space="preserve">سرير نوفال مقاس ٨٠ ابيض </t>
  </si>
  <si>
    <t xml:space="preserve">ديفد بهجت </t>
  </si>
  <si>
    <t>فيصل الجيزه</t>
  </si>
  <si>
    <t>تربيزه قهوه ٢ رافع</t>
  </si>
  <si>
    <t xml:space="preserve">حسن مغرب </t>
  </si>
  <si>
    <t xml:space="preserve">سرير كيفنج ١٢٠ رمادى </t>
  </si>
  <si>
    <t>صفاء الحكيم</t>
  </si>
  <si>
    <t>العين السخنه</t>
  </si>
  <si>
    <t>سرير منطببق اسود وقماش اسود</t>
  </si>
  <si>
    <t>14/9/224</t>
  </si>
  <si>
    <t>يوسف شناوى</t>
  </si>
  <si>
    <t xml:space="preserve">الابراهيميه . الإسكندرية </t>
  </si>
  <si>
    <t xml:space="preserve">ترابيزه قهوه علويه برف سحاب </t>
  </si>
  <si>
    <t>سرير</t>
  </si>
  <si>
    <t>منطبق</t>
  </si>
  <si>
    <t>نوفال</t>
  </si>
  <si>
    <t>فردى</t>
  </si>
  <si>
    <t>كينج</t>
  </si>
  <si>
    <t>كيفنج</t>
  </si>
  <si>
    <t>اسبانى</t>
  </si>
  <si>
    <t>تربيزه</t>
  </si>
  <si>
    <t>ركنة</t>
  </si>
  <si>
    <t>سحارة</t>
  </si>
  <si>
    <t>ركنة بسرير</t>
  </si>
  <si>
    <t>كنبة</t>
  </si>
  <si>
    <t>كرسى</t>
  </si>
  <si>
    <t>فنسيا</t>
  </si>
  <si>
    <t>4*1</t>
  </si>
  <si>
    <t>دورين</t>
  </si>
  <si>
    <t xml:space="preserve">كنبة </t>
  </si>
  <si>
    <t>ابيض</t>
  </si>
  <si>
    <t>اسود</t>
  </si>
  <si>
    <t>ارفيل</t>
  </si>
  <si>
    <t>ازرق</t>
  </si>
  <si>
    <t>ثلاثه ادوار</t>
  </si>
  <si>
    <t>رمادى</t>
  </si>
  <si>
    <t>بنفسجى</t>
  </si>
  <si>
    <t>الاسم</t>
  </si>
  <si>
    <t>المقاس</t>
  </si>
  <si>
    <t>دهبي</t>
  </si>
  <si>
    <t>فورجينا</t>
  </si>
  <si>
    <t>كورين</t>
  </si>
  <si>
    <t>اللون المعدن</t>
  </si>
  <si>
    <t>لون القماش</t>
  </si>
  <si>
    <t>رقم العملية</t>
  </si>
  <si>
    <t>رقم الطلب</t>
  </si>
  <si>
    <t>mohannad</t>
  </si>
  <si>
    <t>EL-Maadi</t>
  </si>
  <si>
    <t>Mohamed Ayman</t>
  </si>
  <si>
    <t>Madinet Badr</t>
  </si>
  <si>
    <t>2 ميكانزم</t>
  </si>
  <si>
    <t>بمكتبة</t>
  </si>
  <si>
    <t>رف سحاب</t>
  </si>
  <si>
    <t>الحالة</t>
  </si>
  <si>
    <t>نم التسليم</t>
  </si>
  <si>
    <t>فشل التسليم</t>
  </si>
  <si>
    <t>لغى</t>
  </si>
  <si>
    <t>نم التصنيع</t>
  </si>
  <si>
    <t>15/9/2024</t>
  </si>
  <si>
    <t>اسامه</t>
  </si>
  <si>
    <t>16/9/2024</t>
  </si>
  <si>
    <t>تم التسليم</t>
  </si>
  <si>
    <t xml:space="preserve">تم التسليم محمود على </t>
  </si>
  <si>
    <t xml:space="preserve">المخزن ابو الغيط </t>
  </si>
  <si>
    <t>اسود وبنى</t>
  </si>
  <si>
    <t>ولاء بدوى</t>
  </si>
  <si>
    <t>عبد الرحمن يسري</t>
  </si>
  <si>
    <t>اكتوبر الجيزه</t>
  </si>
  <si>
    <t>كنبه</t>
  </si>
  <si>
    <t>4×1</t>
  </si>
  <si>
    <t xml:space="preserve">اسود </t>
  </si>
  <si>
    <t>مرتجع</t>
  </si>
  <si>
    <t>31/9/2024</t>
  </si>
  <si>
    <t>الحج محمد السويس</t>
  </si>
  <si>
    <t xml:space="preserve">السويس </t>
  </si>
  <si>
    <t>السويس</t>
  </si>
  <si>
    <t>فانتاستك</t>
  </si>
  <si>
    <t>ملون</t>
  </si>
  <si>
    <t>فنيسيا</t>
  </si>
  <si>
    <t>رصاصي مشجر</t>
  </si>
  <si>
    <t>اسزد</t>
  </si>
  <si>
    <t>بيج</t>
  </si>
  <si>
    <t>شيزلونج</t>
  </si>
  <si>
    <t xml:space="preserve">نبيتى </t>
  </si>
  <si>
    <t>عمرو الأسود</t>
  </si>
  <si>
    <t>الزمالك</t>
  </si>
  <si>
    <t>لغي</t>
  </si>
  <si>
    <t>مخزن شيك هومز</t>
  </si>
  <si>
    <t xml:space="preserve">كنبه </t>
  </si>
  <si>
    <t xml:space="preserve">بترولى </t>
  </si>
  <si>
    <t xml:space="preserve">تم التسليم بمعرفه الحج سيد </t>
  </si>
  <si>
    <t xml:space="preserve">تم التسليم </t>
  </si>
  <si>
    <t xml:space="preserve">أكتوبر </t>
  </si>
  <si>
    <t>التجمع</t>
  </si>
  <si>
    <t>keira</t>
  </si>
  <si>
    <t xml:space="preserve">نوفال </t>
  </si>
  <si>
    <t>١٤٠/١٠٠</t>
  </si>
  <si>
    <t>بينك</t>
  </si>
  <si>
    <t>tarek</t>
  </si>
  <si>
    <t>لاغى</t>
  </si>
  <si>
    <t>reem</t>
  </si>
  <si>
    <t>البطاش اسكندريه</t>
  </si>
  <si>
    <t>١٠٠/١٤٠</t>
  </si>
  <si>
    <t>هشام سامى</t>
  </si>
  <si>
    <t>s03163</t>
  </si>
  <si>
    <t>41 كومبوند جولدن جستس الدور 4 شقه 4</t>
  </si>
  <si>
    <t xml:space="preserve">منزلى </t>
  </si>
  <si>
    <t>بلحه</t>
  </si>
  <si>
    <t>خشب بنى فاتح</t>
  </si>
  <si>
    <t>فانتستيك</t>
  </si>
  <si>
    <t>الوان</t>
  </si>
  <si>
    <t>المعرض مدينه نصر</t>
  </si>
  <si>
    <t xml:space="preserve">اقرب وقت </t>
  </si>
  <si>
    <t>فاطمه محمد</t>
  </si>
  <si>
    <t>أكتوبر الجيزه</t>
  </si>
  <si>
    <t>الشيخ زايد اكتوبر</t>
  </si>
  <si>
    <t>بولا هومزمارت</t>
  </si>
  <si>
    <t>مسيو هومزمارت</t>
  </si>
  <si>
    <t>4800+300شحن</t>
  </si>
  <si>
    <t>5000+300شحن</t>
  </si>
  <si>
    <t xml:space="preserve">محمد شكرى </t>
  </si>
  <si>
    <t>ارينا</t>
  </si>
  <si>
    <t>بترولى</t>
  </si>
  <si>
    <t>مسبق</t>
  </si>
  <si>
    <t>3/12/204</t>
  </si>
  <si>
    <t>so3290</t>
  </si>
  <si>
    <t>منزلى</t>
  </si>
  <si>
    <t>مدينتى</t>
  </si>
  <si>
    <t>s_6725</t>
  </si>
  <si>
    <t>حماده</t>
  </si>
  <si>
    <t>صفاء عبد الباقي</t>
  </si>
  <si>
    <t xml:space="preserve">كينج </t>
  </si>
  <si>
    <t>s_6806</t>
  </si>
  <si>
    <t xml:space="preserve">سرير </t>
  </si>
  <si>
    <t>s-6626</t>
  </si>
  <si>
    <t>المخزن</t>
  </si>
  <si>
    <t xml:space="preserve">دورين </t>
  </si>
  <si>
    <t xml:space="preserve">مرفوض </t>
  </si>
  <si>
    <t xml:space="preserve">رندا العامرى </t>
  </si>
  <si>
    <t xml:space="preserve">كيمت </t>
  </si>
  <si>
    <t xml:space="preserve">كيفنج </t>
  </si>
  <si>
    <t>٦ اكتوبر الجيزه</t>
  </si>
  <si>
    <t xml:space="preserve">فردى </t>
  </si>
  <si>
    <t>امريكى</t>
  </si>
  <si>
    <t>محمد حمدى</t>
  </si>
  <si>
    <t>فيسبوك</t>
  </si>
  <si>
    <t xml:space="preserve">كوين </t>
  </si>
  <si>
    <t>5700+300شحن</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</si>
  <si>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</si>
  <si>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</si>
  <si>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</si>
  <si>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</si>
  <si>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</si>
  <si>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</si>
  <si>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</si>
  <si>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ترابيزه</t>
  </si>
  <si>
    <t>مكتبه</t>
  </si>
  <si>
    <t>محمد ناجى</t>
  </si>
  <si>
    <t xml:space="preserve">دوران </t>
  </si>
  <si>
    <t>ميكانزم</t>
  </si>
  <si>
    <t>ابيض في بنى غامق</t>
  </si>
  <si>
    <t>احمد عبد الستار</t>
  </si>
  <si>
    <t>المندره اسكندريه</t>
  </si>
  <si>
    <t xml:space="preserve">نور </t>
  </si>
  <si>
    <t xml:space="preserve">ترابيزه </t>
  </si>
  <si>
    <t>بنى غامق</t>
  </si>
  <si>
    <t>نور</t>
  </si>
  <si>
    <t xml:space="preserve">هومزمارت </t>
  </si>
  <si>
    <t xml:space="preserve">بنى غامق </t>
  </si>
  <si>
    <t>تامر</t>
  </si>
  <si>
    <t>٢ ميكانزم</t>
  </si>
  <si>
    <t xml:space="preserve">بيج </t>
  </si>
  <si>
    <t>هناء اسامه</t>
  </si>
  <si>
    <t>القطاميه</t>
  </si>
  <si>
    <t>s_7152</t>
  </si>
  <si>
    <t xml:space="preserve">محمد عادل </t>
  </si>
  <si>
    <t>مريم عنان</t>
  </si>
  <si>
    <t xml:space="preserve">اب تاون كايرو التجمع </t>
  </si>
  <si>
    <t xml:space="preserve">هبه عطيه </t>
  </si>
  <si>
    <t>دوران</t>
  </si>
  <si>
    <t>حمدى ذكرى</t>
  </si>
  <si>
    <t>روك ١٠</t>
  </si>
  <si>
    <t>العميل رفض الاستلام</t>
  </si>
  <si>
    <t xml:space="preserve">معتمدا علي الهدف الأساسي المتمثل في " تحديد المنتجات الأعلى والأقل مبيعًا " </t>
  </si>
  <si>
    <t>إجمالي المبيعات (Total Sales)</t>
  </si>
  <si>
    <t xml:space="preserve">عدد الطلبات (Total Orders) </t>
  </si>
  <si>
    <t>متوسط سعر البيع (Average Selling Price)</t>
  </si>
  <si>
    <t>عدد المنتجات المباعة حسب المنصة (Sales by Platform)</t>
  </si>
  <si>
    <t>نسبة الطلبات المسلمة في الموعد (On-time Delivery Rate).</t>
  </si>
  <si>
    <t>مستندا الي  KPIS الأساسية :</t>
  </si>
  <si>
    <t xml:space="preserve"> قم بتصميم Dashboard</t>
  </si>
  <si>
    <t xml:space="preserve">المنتج الأكثر مبيعا   Best  Seller </t>
  </si>
  <si>
    <t xml:space="preserve">اللون الأكثر مبيعا Best Color sold </t>
  </si>
  <si>
    <t>المدينة الأكثر مبيعا   (Orders by Area).</t>
  </si>
  <si>
    <t xml:space="preserve">عدد الأفراد والشركات التي تتعامل معها شركة مسيو </t>
  </si>
  <si>
    <t>نسبة الطلبات  الملغاة التي لم تتسلم (Delivery Status Breakdown)</t>
  </si>
  <si>
    <t>Column1</t>
  </si>
  <si>
    <t>Column2</t>
  </si>
  <si>
    <t>أبيض</t>
  </si>
  <si>
    <t>أسود</t>
  </si>
  <si>
    <t>Column3</t>
  </si>
  <si>
    <t>المدينة</t>
  </si>
  <si>
    <t>Original Location / Place</t>
  </si>
  <si>
    <t>Governorate / City</t>
  </si>
  <si>
    <t>الجيزة (Giza)</t>
  </si>
  <si>
    <t>الإسكندرية (Alexandria)</t>
  </si>
  <si>
    <t>سيدى عبد الرحمن - الساحل الشمالى</t>
  </si>
  <si>
    <t>مطروح (Matrouh)</t>
  </si>
  <si>
    <t>البحر الأحمر (Red Sea)</t>
  </si>
  <si>
    <t>القاهرة (Cairo)</t>
  </si>
  <si>
    <t>المقطم</t>
  </si>
  <si>
    <t>مدينه نصر</t>
  </si>
  <si>
    <t>مخزن اوسكار في القناطر</t>
  </si>
  <si>
    <t>القليوبية (Qalyubia)</t>
  </si>
  <si>
    <t>السويس (Suez)</t>
  </si>
  <si>
    <t>الابراهيميه . الإسكندرية</t>
  </si>
  <si>
    <t>١٨ شارع البحيري بولاق الدكرور الجيزه</t>
  </si>
  <si>
    <t>الشروق القاهره</t>
  </si>
  <si>
    <t>حدايق الاهرام</t>
  </si>
  <si>
    <t>لافيستا العين السخنه</t>
  </si>
  <si>
    <t>الشيخ زايد ٦ اكتوبر</t>
  </si>
  <si>
    <t>اسيوط</t>
  </si>
  <si>
    <t>أسيوط (Asyut)</t>
  </si>
  <si>
    <t>المخزن ابو الغيط</t>
  </si>
  <si>
    <t>مستودع / مخزن مركزى (Central Warehouse)</t>
  </si>
  <si>
    <t>أكتوبر</t>
  </si>
  <si>
    <t>شبرا</t>
  </si>
  <si>
    <t>جليم الإسكندرية</t>
  </si>
  <si>
    <t>اب تاون كايرو التجمع</t>
  </si>
  <si>
    <t>ü</t>
  </si>
  <si>
    <t>عدد أيام التسليم الأصلى</t>
  </si>
  <si>
    <t>عدد أيام التسليم الفعلى</t>
  </si>
  <si>
    <t>14/9/2024</t>
  </si>
  <si>
    <t>Row Labels</t>
  </si>
  <si>
    <t>Grand Total</t>
  </si>
  <si>
    <t>Count of Column1</t>
  </si>
  <si>
    <t>المنتجات الأعلى والأقل مبيعا</t>
  </si>
  <si>
    <t>الأعلى مبيعا</t>
  </si>
  <si>
    <t>السرير</t>
  </si>
  <si>
    <t>الأقل مبيعا</t>
  </si>
  <si>
    <t xml:space="preserve">Sum of سعر البيع </t>
  </si>
  <si>
    <t>إجمالي المبيعات</t>
  </si>
  <si>
    <t>Count of أسم العميل</t>
  </si>
  <si>
    <t>عدد الطلبات</t>
  </si>
  <si>
    <t>خالد عبد القوى</t>
  </si>
  <si>
    <t>زينا</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</si>
  <si>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</si>
  <si>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</si>
  <si>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</si>
  <si>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</si>
  <si>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</si>
  <si>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</si>
  <si>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</si>
  <si>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</si>
  <si>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</si>
  <si>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</si>
  <si>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</si>
  <si>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</si>
  <si>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</si>
  <si>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</si>
  <si>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</si>
  <si>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</si>
  <si>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</si>
  <si>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</si>
  <si>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</si>
  <si>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</si>
  <si>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</si>
  <si>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</si>
  <si>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</si>
  <si>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</si>
  <si>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</si>
  <si>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</si>
  <si>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</si>
  <si>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</si>
  <si>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</si>
  <si>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</si>
  <si>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</si>
  <si>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 xml:space="preserve">Average of سعر البيع </t>
  </si>
  <si>
    <t>متوسط سعر البيع</t>
  </si>
  <si>
    <t>اوسكار ريتن</t>
  </si>
  <si>
    <t>كيمت</t>
  </si>
  <si>
    <t>عدد المنتجات المباعة حسب المنصة</t>
  </si>
  <si>
    <t>أسود وبنى</t>
  </si>
  <si>
    <t>أبيض في بنى غامق</t>
  </si>
  <si>
    <t/>
  </si>
  <si>
    <t>نبيتى</t>
  </si>
  <si>
    <t>Column4</t>
  </si>
  <si>
    <t>لون المعدن2</t>
  </si>
  <si>
    <t>لون المعدن الأكثر مبيعا</t>
  </si>
  <si>
    <t>لون القماش الأكثر مبيعا</t>
  </si>
  <si>
    <t>Column5</t>
  </si>
  <si>
    <t>تم التسليم بعد الموعد</t>
  </si>
  <si>
    <t>لا يوجد تاريخ</t>
  </si>
  <si>
    <t>نسبة الطلبات التي تم تسليمها في الموعد</t>
  </si>
  <si>
    <t>0</t>
  </si>
  <si>
    <t>تم التسليم قبل الموعد</t>
  </si>
  <si>
    <t>نسبة الطلبات الملغية</t>
  </si>
  <si>
    <t>الحالة1</t>
  </si>
  <si>
    <t>المدينة الأكثر مبيعا</t>
  </si>
  <si>
    <t>أفراد</t>
  </si>
  <si>
    <t>شركات</t>
  </si>
  <si>
    <t>Count of Column3</t>
  </si>
  <si>
    <t>عدد الأفراد والشركات التي تتعامل معها ماسيو</t>
  </si>
  <si>
    <r>
      <t xml:space="preserve">الكرسى، </t>
    </r>
    <r>
      <rPr>
        <u/>
        <sz val="11"/>
        <color theme="4" tint="-0.249977111117893"/>
        <rFont val="Calibri"/>
        <family val="2"/>
        <scheme val="minor"/>
      </rPr>
      <t>ركنة،</t>
    </r>
    <r>
      <rPr>
        <sz val="11"/>
        <color theme="1"/>
        <rFont val="Calibri"/>
        <family val="2"/>
        <scheme val="minor"/>
      </rPr>
      <t xml:space="preserve"> شيزلونج</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</si>
</sst>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2000000]dd/mm/yyyy"/>
    <numFmt numFmtId="165" formatCode="[$-2000401]0"/>
    <numFmt numFmtId="166" formatCode="_(* #,##0_);_(* \(#,##0\);_(* &quot;-&quot;??_);_(@_)"/>
  </numFmts>
  <fonts count="21" x14ac:knownFonts="1">
    <font>
      <sz val="11"/>
      <color theme="1"/>
      <name val="Calibri"/>
      <family val="2"/>
      <scheme val="minor"/>
    </font>
    <font>
      <b/>
      <sz val="12"/>
      <color theme="1"/>
      <name val="Calibri"/>
      <family val="2"/>
      <scheme val="minor"/>
    </font>
    <font>
      <sz val="11"/>
      <name val="Calibri"/>
      <family val="2"/>
      <scheme val="minor"/>
    </font>
    <font>
      <sz val="10"/>
      <name val="Arial"/>
      <family val="2"/>
    </font>
    <font>
      <b/>
      <sz val="11"/>
      <color theme="1"/>
      <name val="Calibri"/>
      <family val="2"/>
      <scheme val="minor"/>
    </font>
    <font>
      <b/>
      <sz val="14"/>
      <color theme="4" tint="-0.249977111117893"/>
      <name val="Times New Roman"/>
      <family val="1"/>
    </font>
    <font>
      <b/>
      <sz val="20"/>
      <color rgb="FFFF0000"/>
      <name val="Times New Roman"/>
      <family val="1"/>
    </font>
    <font>
      <b/>
      <sz val="14"/>
      <color theme="1"/>
      <name val="Calibri"/>
      <family val="2"/>
      <scheme val="minor"/>
    </font>
    <font>
      <sz val="11"/>
      <color theme="1"/>
      <name val="Times New Roman"/>
      <family val="1"/>
    </font>
    <font>
      <b/>
      <sz val="12"/>
      <color theme="1"/>
      <name val="Times New Roman"/>
      <family val="1"/>
    </font>
    <font>
      <b/>
      <sz val="14"/>
      <color theme="1"/>
      <name val="Times New Roman"/>
      <family val="1"/>
    </font>
    <font>
      <b/>
      <sz val="11"/>
      <color theme="1"/>
      <name val="Times New Roman"/>
      <family val="1"/>
    </font>
    <font>
      <b/>
      <sz val="12"/>
      <name val="Calibri"/>
      <family val="2"/>
      <scheme val="minor"/>
    </font>
    <font>
      <b/>
      <sz val="11"/>
      <name val="Calibri"/>
      <family val="2"/>
      <scheme val="minor"/>
    </font>
    <font>
      <sz val="16"/>
      <name val="Calibri"/>
      <family val="2"/>
      <scheme val="minor"/>
    </font>
    <font>
      <sz val="11"/>
      <name val="Arial"/>
      <family val="2"/>
    </font>
    <font>
      <b/>
      <sz val="12"/>
      <color theme="1"/>
      <name val="Wingdings"/>
      <charset val="2"/>
    </font>
    <font>
      <sz val="8"/>
      <name val="Calibri"/>
      <family val="2"/>
      <scheme val="minor"/>
    </font>
    <font>
      <b/>
      <sz val="20"/>
      <color theme="1"/>
      <name val="Calibri"/>
      <family val="2"/>
      <scheme val="minor"/>
    </font>
    <font>
      <sz val="11"/>
      <color theme="1"/>
      <name val="Calibri"/>
      <family val="2"/>
      <scheme val="minor"/>
    </font>
    <font>
      <u/>
      <sz val="11"/>
      <color theme="4" tint="-0.249977111117893"/>
      <name val="Calibri"/>
      <family val="2"/>
      <scheme val="minor"/>
    </font>
  </fonts>
  <fills count="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bgColor indexed="64"/>
      </patternFill>
    </fill>
    <fill>
      <patternFill patternType="solid">
        <fgColor rgb="FFFFFF00"/>
        <bgColor indexed="64"/>
      </patternFill>
    </fill>
    <fill>
      <patternFill patternType="solid">
        <fgColor rgb="FF1B2B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2">
    <xf numFmtId="0" fontId="0" fillId="0" borderId="0"/>
    <xf numFmtId="43" fontId="19" fillId="0" borderId="0" applyFont="0" applyFill="0" applyBorder="0" applyAlignment="0" applyProtection="0"/>
  </cellStyleXfs>
  <cellXfs count="86">
    <xf numFmtId="0" fontId="0" fillId="0" borderId="0" xfId="0"/>
    <xf numFmtId="0" fontId="0" fillId="0" borderId="0" xfId="0" applyAlignment="1">
      <alignment horizontal="right" vertic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14" fontId="2" fillId="3"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2" fontId="2" fillId="6" borderId="1"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2" fontId="2" fillId="4"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0" fontId="3" fillId="6" borderId="1" xfId="0" applyFont="1" applyFill="1" applyBorder="1" applyAlignment="1">
      <alignment horizontal="center"/>
    </xf>
    <xf numFmtId="0" fontId="2" fillId="4"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0" fontId="4" fillId="0" borderId="0" xfId="0" applyFont="1"/>
    <xf numFmtId="0" fontId="1"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9" fillId="0" borderId="0" xfId="0" applyFont="1" applyAlignment="1">
      <alignment horizontal="right" indent="2"/>
    </xf>
    <xf numFmtId="0" fontId="2" fillId="6" borderId="2" xfId="0" applyFont="1" applyFill="1" applyBorder="1" applyAlignment="1">
      <alignment horizontal="center" vertical="center"/>
    </xf>
    <xf numFmtId="0" fontId="2" fillId="4" borderId="2" xfId="0" applyFont="1" applyFill="1" applyBorder="1" applyAlignment="1">
      <alignment horizontal="center" vertical="center"/>
    </xf>
    <xf numFmtId="2" fontId="0" fillId="0" borderId="1" xfId="0" applyNumberFormat="1" applyBorder="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0" fillId="0" borderId="0" xfId="0" applyAlignment="1">
      <alignment horizontal="center"/>
    </xf>
    <xf numFmtId="0" fontId="2" fillId="0" borderId="1" xfId="0" applyFont="1" applyBorder="1" applyAlignment="1">
      <alignment horizontal="center" vertical="center"/>
    </xf>
    <xf numFmtId="0" fontId="2" fillId="6" borderId="3" xfId="0" applyFont="1" applyFill="1" applyBorder="1" applyAlignment="1">
      <alignment horizontal="center" vertical="center"/>
    </xf>
    <xf numFmtId="2" fontId="2" fillId="6" borderId="3" xfId="0" applyNumberFormat="1" applyFont="1" applyFill="1" applyBorder="1" applyAlignment="1">
      <alignment horizontal="center" vertical="center"/>
    </xf>
    <xf numFmtId="164" fontId="2" fillId="6" borderId="3" xfId="0" applyNumberFormat="1" applyFont="1" applyFill="1" applyBorder="1" applyAlignment="1">
      <alignment horizontal="center" vertical="center"/>
    </xf>
    <xf numFmtId="164" fontId="2" fillId="6" borderId="1" xfId="0" applyNumberFormat="1" applyFont="1" applyFill="1" applyBorder="1" applyAlignment="1">
      <alignment horizontal="center" vertical="center"/>
    </xf>
    <xf numFmtId="14" fontId="2" fillId="6" borderId="3"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6" borderId="0" xfId="0" applyFont="1" applyFill="1" applyAlignment="1">
      <alignment horizontal="center" vertical="center"/>
    </xf>
    <xf numFmtId="0" fontId="2" fillId="5" borderId="2" xfId="0" applyFont="1" applyFill="1" applyBorder="1" applyAlignment="1">
      <alignment horizontal="center" vertical="center"/>
    </xf>
    <xf numFmtId="0" fontId="2" fillId="2" borderId="2" xfId="0" applyFont="1" applyFill="1" applyBorder="1" applyAlignment="1">
      <alignment horizontal="center" vertical="center"/>
    </xf>
    <xf numFmtId="0" fontId="13" fillId="6" borderId="1" xfId="0" applyFont="1" applyFill="1" applyBorder="1" applyAlignment="1">
      <alignment horizontal="center" vertical="center"/>
    </xf>
    <xf numFmtId="165" fontId="2" fillId="6"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14" fillId="6" borderId="0" xfId="0" applyFont="1" applyFill="1" applyAlignment="1">
      <alignment horizontal="center"/>
    </xf>
    <xf numFmtId="2"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0" fontId="2" fillId="0" borderId="0" xfId="0" applyFont="1" applyAlignment="1">
      <alignment horizontal="center" vertical="center"/>
    </xf>
    <xf numFmtId="0" fontId="2" fillId="3" borderId="0" xfId="0" applyFont="1" applyFill="1" applyAlignment="1">
      <alignment horizontal="center" vertical="center"/>
    </xf>
    <xf numFmtId="165" fontId="2" fillId="3" borderId="1" xfId="0" applyNumberFormat="1" applyFont="1" applyFill="1" applyBorder="1" applyAlignment="1">
      <alignment horizontal="center" vertical="center"/>
    </xf>
    <xf numFmtId="0" fontId="2" fillId="6" borderId="4" xfId="0" applyFont="1" applyFill="1" applyBorder="1" applyAlignment="1">
      <alignment horizontal="center" vertical="center"/>
    </xf>
    <xf numFmtId="0" fontId="2" fillId="0" borderId="2" xfId="0" applyFont="1" applyBorder="1" applyAlignment="1">
      <alignment horizontal="center" vertical="center"/>
    </xf>
    <xf numFmtId="0" fontId="12" fillId="2" borderId="4" xfId="0" applyFont="1" applyFill="1" applyBorder="1" applyAlignment="1">
      <alignment horizontal="center" vertical="center"/>
    </xf>
    <xf numFmtId="0" fontId="12" fillId="2" borderId="3" xfId="0" applyFont="1" applyFill="1" applyBorder="1" applyAlignment="1">
      <alignment horizontal="center" vertical="center"/>
    </xf>
    <xf numFmtId="2" fontId="12" fillId="2" borderId="3" xfId="0" applyNumberFormat="1" applyFont="1" applyFill="1" applyBorder="1" applyAlignment="1">
      <alignment horizontal="center" vertical="center"/>
    </xf>
    <xf numFmtId="0" fontId="2" fillId="0" borderId="3" xfId="0" applyFont="1" applyBorder="1" applyAlignment="1">
      <alignment horizontal="center" vertical="center"/>
    </xf>
    <xf numFmtId="0" fontId="15" fillId="3" borderId="1" xfId="0" applyFont="1" applyFill="1" applyBorder="1" applyAlignment="1">
      <alignment horizontal="center"/>
    </xf>
    <xf numFmtId="0" fontId="15" fillId="4" borderId="1" xfId="0" applyFont="1" applyFill="1" applyBorder="1" applyAlignment="1">
      <alignment horizontal="center"/>
    </xf>
    <xf numFmtId="0" fontId="15" fillId="3" borderId="0" xfId="0" applyFont="1" applyFill="1" applyAlignment="1">
      <alignment horizontal="center"/>
    </xf>
    <xf numFmtId="0" fontId="15" fillId="6" borderId="1" xfId="0" applyFont="1" applyFill="1" applyBorder="1" applyAlignment="1">
      <alignment horizontal="center"/>
    </xf>
    <xf numFmtId="0" fontId="15" fillId="3" borderId="0" xfId="0" applyFont="1" applyFill="1" applyAlignment="1">
      <alignment horizontal="center" wrapText="1"/>
    </xf>
    <xf numFmtId="0" fontId="15" fillId="6" borderId="0" xfId="0" applyFont="1" applyFill="1" applyAlignment="1">
      <alignment horizontal="center" wrapText="1"/>
    </xf>
    <xf numFmtId="0" fontId="15" fillId="0" borderId="0" xfId="0" applyFont="1" applyAlignment="1">
      <alignment horizontal="center" wrapText="1"/>
    </xf>
    <xf numFmtId="0" fontId="15" fillId="6" borderId="3" xfId="0" applyFont="1" applyFill="1" applyBorder="1" applyAlignment="1">
      <alignment horizontal="center" vertical="center"/>
    </xf>
    <xf numFmtId="0" fontId="15" fillId="6" borderId="1" xfId="0" applyFont="1" applyFill="1" applyBorder="1" applyAlignment="1">
      <alignment horizontal="center" vertical="center"/>
    </xf>
    <xf numFmtId="0" fontId="15" fillId="4" borderId="1" xfId="0" applyFont="1" applyFill="1" applyBorder="1" applyAlignment="1">
      <alignment horizontal="center" vertical="center"/>
    </xf>
    <xf numFmtId="0" fontId="15" fillId="3" borderId="1" xfId="0" applyFont="1" applyFill="1" applyBorder="1" applyAlignment="1">
      <alignment horizontal="center" vertical="center"/>
    </xf>
    <xf numFmtId="0" fontId="15" fillId="6" borderId="0" xfId="0" applyFont="1" applyFill="1" applyAlignment="1">
      <alignment horizontal="center" vertical="center"/>
    </xf>
    <xf numFmtId="0" fontId="15" fillId="0" borderId="1" xfId="0" applyFont="1" applyBorder="1" applyAlignment="1">
      <alignment horizontal="center" vertical="center"/>
    </xf>
    <xf numFmtId="14" fontId="0" fillId="0" borderId="0" xfId="0" applyNumberFormat="1"/>
    <xf numFmtId="14" fontId="0" fillId="0" borderId="0" xfId="0" applyNumberFormat="1" applyAlignment="1">
      <alignment horizontal="right"/>
    </xf>
    <xf numFmtId="0" fontId="4" fillId="0" borderId="1" xfId="0" applyFont="1" applyBorder="1" applyAlignment="1">
      <alignment horizontal="center" vertical="top"/>
    </xf>
    <xf numFmtId="0" fontId="16" fillId="0" borderId="0" xfId="0" applyFont="1"/>
    <xf numFmtId="1" fontId="0" fillId="0" borderId="0" xfId="0" applyNumberFormat="1"/>
    <xf numFmtId="0" fontId="0" fillId="0" borderId="0" xfId="0" pivotButton="1"/>
    <xf numFmtId="0" fontId="0" fillId="0" borderId="0" xfId="0" applyAlignment="1">
      <alignment horizontal="left"/>
    </xf>
    <xf numFmtId="0" fontId="0" fillId="7" borderId="0" xfId="0" applyFill="1"/>
    <xf numFmtId="0" fontId="0" fillId="0" borderId="0" xfId="0" applyAlignment="1">
      <alignment wrapText="1"/>
    </xf>
    <xf numFmtId="166" fontId="0" fillId="0" borderId="0" xfId="0" applyNumberFormat="1"/>
    <xf numFmtId="10" fontId="0" fillId="0" borderId="0" xfId="0" applyNumberFormat="1"/>
    <xf numFmtId="9" fontId="0" fillId="0" borderId="0" xfId="0" applyNumberFormat="1"/>
    <xf numFmtId="0" fontId="12" fillId="2" borderId="3" xfId="0" applyFont="1" applyFill="1" applyBorder="1" applyAlignment="1">
      <alignment horizontal="right" vertical="center"/>
    </xf>
    <xf numFmtId="1" fontId="0" fillId="0" borderId="0" xfId="0" applyNumberFormat="1" applyAlignment="1">
      <alignment horizontal="right"/>
    </xf>
    <xf numFmtId="0" fontId="18" fillId="0" borderId="0" xfId="0" applyFont="1" applyAlignment="1">
      <alignment horizontal="center" wrapText="1"/>
    </xf>
    <xf numFmtId="0" fontId="18" fillId="0" borderId="0" xfId="0" applyFont="1" applyAlignment="1">
      <alignment horizontal="center"/>
    </xf>
    <xf numFmtId="0" fontId="0" fillId="8" borderId="0" xfId="0" applyFill="1"/>
    <xf numFmtId="166" fontId="0" fillId="0" borderId="0" xfId="1" applyNumberFormat="1" applyFont="1"/>
    <xf numFmtId="0" fontId="0" fillId="0" borderId="0" xfId="0" applyNumberFormat="1"/>
  </cellXfs>
  <cellStyles count="2">
    <cellStyle name="Comma" xfId="1" builtinId="3"/>
    <cellStyle name="Normal" xfId="0" builtinId="0"/>
  </cellStyles>
  <dxfs count="40">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m/d/yyyy"/>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2" formatCode="0.00"/>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family val="2"/>
        <scheme val="none"/>
      </font>
      <fill>
        <patternFill patternType="solid">
          <fgColor indexed="64"/>
          <bgColor theme="9"/>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Calibri"/>
        <family val="2"/>
        <scheme val="minor"/>
      </font>
      <fill>
        <patternFill patternType="solid">
          <fgColor indexed="64"/>
          <bgColor theme="9"/>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rgb="FF000000"/>
        </left>
        <top style="thin">
          <color rgb="FF000000"/>
        </top>
      </border>
    </dxf>
    <dxf>
      <font>
        <b val="0"/>
        <i val="0"/>
        <strike val="0"/>
        <condense val="0"/>
        <extend val="0"/>
        <outline val="0"/>
        <shadow val="0"/>
        <u val="none"/>
        <vertAlign val="baseline"/>
        <sz val="11"/>
        <color auto="1"/>
        <name val="Calibri"/>
        <family val="2"/>
        <scheme val="none"/>
      </font>
      <fill>
        <patternFill patternType="solid">
          <fgColor rgb="FF000000"/>
          <bgColor rgb="FF70AD47"/>
        </patternFill>
      </fill>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alignment horizontal="right" vertical="center" textRotation="0" wrapText="0" indent="0" justifyLastLine="0" shrinkToFit="0" readingOrder="0"/>
    </dxf>
    <dxf>
      <numFmt numFmtId="1" formatCode="0"/>
      <alignment horizontal="right" vertical="bottom" textRotation="0" wrapText="0" indent="0" justifyLastLine="0" shrinkToFit="0" readingOrder="0"/>
    </dxf>
    <dxf>
      <numFmt numFmtId="1" formatCode="0"/>
      <alignment horizontal="right" textRotation="0" wrapText="0" indent="0" justifyLastLine="0" shrinkToFit="0" readingOrder="0"/>
    </dxf>
    <dxf>
      <numFmt numFmtId="1" formatCode="0"/>
    </dxf>
    <dxf>
      <numFmt numFmtId="1" formatCode="0"/>
    </dxf>
    <dxf>
      <numFmt numFmtId="19" formatCode="m/d/yyyy"/>
    </dxf>
    <dxf>
      <numFmt numFmtId="19" formatCode="m/d/yyyy"/>
    </dxf>
    <dxf>
      <numFmt numFmtId="19" formatCode="m/d/yyyy"/>
      <alignment horizontal="right" vertical="bottom" textRotation="0" wrapText="0" indent="0" justifyLastLine="0" shrinkToFit="0" readingOrder="0"/>
    </dxf>
    <dxf>
      <numFmt numFmtId="0" formatCode="General"/>
    </dxf>
    <dxf>
      <numFmt numFmtId="0" formatCode="General"/>
    </dxf>
    <dxf>
      <border outline="0">
        <left style="thin">
          <color indexed="64"/>
        </left>
        <top style="thin">
          <color indexed="64"/>
        </top>
      </border>
    </dxf>
    <dxf>
      <border outline="0">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 formatCode="0"/>
    </dxf>
    <dxf>
      <numFmt numFmtId="166" formatCode="_(* #,##0_);_(* \(#,##0\);_(* &quot;-&quot;??_);_(@_)"/>
    </dxf>
    <dxf>
      <numFmt numFmtId="13" formatCode="0%"/>
    </dxf>
  </dxfs>
  <tableStyles count="1" defaultTableStyle="TableStyleMedium2" defaultPivotStyle="PivotStyleLight16">
    <tableStyle name="Invisible" pivot="0" table="0" count="0" xr9:uid="{AA73528B-8D85-432A-9172-AA70B5E8C669}"/>
  </tableStyles>
  <colors>
    <mruColors>
      <color rgb="FFF2F2F2"/>
      <color rgb="FFF21B2D"/>
      <color rgb="FF4A6B53"/>
      <color rgb="FF1E3151"/>
      <color rgb="FF1B2B48"/>
      <color rgb="FFA603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نسبة الطلبات التي تم تسليمها في الموعد</a:t>
            </a:r>
            <a:endParaRPr lang="en-US"/>
          </a:p>
        </c:rich>
      </c:tx>
      <c:layout>
        <c:manualLayout>
          <c:xMode val="edge"/>
          <c:yMode val="edge"/>
          <c:x val="0.2258333333333333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0311"/>
          </a:solidFill>
          <a:ln w="19050">
            <a:solidFill>
              <a:schemeClr val="lt1"/>
            </a:solidFill>
          </a:ln>
          <a:effectLst/>
        </c:spPr>
        <c:dLbl>
          <c:idx val="0"/>
          <c:layout>
            <c:manualLayout>
              <c:x val="1.9532480314960628E-2"/>
              <c:y val="-0.17669765237678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w="19050">
            <a:solidFill>
              <a:schemeClr val="lt1"/>
            </a:solidFill>
          </a:ln>
          <a:effectLst/>
        </c:spPr>
        <c:dLbl>
          <c:idx val="0"/>
          <c:layout>
            <c:manualLayout>
              <c:x val="-2.4051181102362203E-2"/>
              <c:y val="7.82553222513856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3151"/>
          </a:solidFill>
          <a:ln w="19050">
            <a:solidFill>
              <a:schemeClr val="lt1"/>
            </a:solidFill>
          </a:ln>
          <a:effectLst/>
        </c:spPr>
        <c:dLbl>
          <c:idx val="0"/>
          <c:layout>
            <c:manualLayout>
              <c:x val="-9.8244531933508308E-2"/>
              <c:y val="-5.6600685331000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tables'!$AK$8</c:f>
              <c:strCache>
                <c:ptCount val="1"/>
                <c:pt idx="0">
                  <c:v>Total</c:v>
                </c:pt>
              </c:strCache>
            </c:strRef>
          </c:tx>
          <c:dPt>
            <c:idx val="0"/>
            <c:bubble3D val="0"/>
            <c:spPr>
              <a:solidFill>
                <a:srgbClr val="A60311"/>
              </a:solidFill>
              <a:ln w="19050">
                <a:solidFill>
                  <a:schemeClr val="lt1"/>
                </a:solidFill>
              </a:ln>
              <a:effectLst/>
            </c:spPr>
            <c:extLst>
              <c:ext xmlns:c16="http://schemas.microsoft.com/office/drawing/2014/chart" uri="{C3380CC4-5D6E-409C-BE32-E72D297353CC}">
                <c16:uniqueId val="{00000002-AB6E-4078-88DB-81614B3136D0}"/>
              </c:ext>
            </c:extLst>
          </c:dPt>
          <c:dPt>
            <c:idx val="1"/>
            <c:bubble3D val="0"/>
            <c:spPr>
              <a:solidFill>
                <a:srgbClr val="1E3151"/>
              </a:solidFill>
              <a:ln w="19050">
                <a:solidFill>
                  <a:schemeClr val="lt1"/>
                </a:solidFill>
              </a:ln>
              <a:effectLst/>
            </c:spPr>
            <c:extLst>
              <c:ext xmlns:c16="http://schemas.microsoft.com/office/drawing/2014/chart" uri="{C3380CC4-5D6E-409C-BE32-E72D297353CC}">
                <c16:uniqueId val="{00000004-AB6E-4078-88DB-81614B3136D0}"/>
              </c:ext>
            </c:extLst>
          </c:dPt>
          <c:dPt>
            <c:idx val="2"/>
            <c:bubble3D val="0"/>
            <c:spPr>
              <a:solidFill>
                <a:srgbClr val="F21B2D"/>
              </a:solidFill>
              <a:ln w="19050">
                <a:solidFill>
                  <a:schemeClr val="lt1"/>
                </a:solidFill>
              </a:ln>
              <a:effectLst/>
            </c:spPr>
            <c:extLst>
              <c:ext xmlns:c16="http://schemas.microsoft.com/office/drawing/2014/chart" uri="{C3380CC4-5D6E-409C-BE32-E72D297353CC}">
                <c16:uniqueId val="{00000003-AB6E-4078-88DB-81614B3136D0}"/>
              </c:ext>
            </c:extLst>
          </c:dPt>
          <c:dLbls>
            <c:dLbl>
              <c:idx val="0"/>
              <c:layout>
                <c:manualLayout>
                  <c:x val="1.9532480314960628E-2"/>
                  <c:y val="-0.1766976523767862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B6E-4078-88DB-81614B3136D0}"/>
                </c:ext>
              </c:extLst>
            </c:dLbl>
            <c:dLbl>
              <c:idx val="1"/>
              <c:layout>
                <c:manualLayout>
                  <c:x val="-9.8244531933508308E-2"/>
                  <c:y val="-5.66006853310002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B6E-4078-88DB-81614B3136D0}"/>
                </c:ext>
              </c:extLst>
            </c:dLbl>
            <c:dLbl>
              <c:idx val="2"/>
              <c:layout>
                <c:manualLayout>
                  <c:x val="-2.4051181102362203E-2"/>
                  <c:y val="7.825532225138567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6E-4078-88DB-81614B3136D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tables'!$AJ$9:$AJ$12</c:f>
              <c:strCache>
                <c:ptCount val="3"/>
                <c:pt idx="0">
                  <c:v>تم التسليم بعد الموعد</c:v>
                </c:pt>
                <c:pt idx="1">
                  <c:v>تم التسليم قبل الموعد</c:v>
                </c:pt>
                <c:pt idx="2">
                  <c:v>لا يوجد تاريخ</c:v>
                </c:pt>
              </c:strCache>
            </c:strRef>
          </c:cat>
          <c:val>
            <c:numRef>
              <c:f>'Pivot tables'!$AK$9:$AK$12</c:f>
              <c:numCache>
                <c:formatCode>0%</c:formatCode>
                <c:ptCount val="3"/>
                <c:pt idx="0">
                  <c:v>0.42857142857142855</c:v>
                </c:pt>
                <c:pt idx="1">
                  <c:v>0.31746031746031744</c:v>
                </c:pt>
                <c:pt idx="2">
                  <c:v>0.25396825396825395</c:v>
                </c:pt>
              </c:numCache>
            </c:numRef>
          </c:val>
          <c:extLst>
            <c:ext xmlns:c16="http://schemas.microsoft.com/office/drawing/2014/chart" uri="{C3380CC4-5D6E-409C-BE32-E72D297353CC}">
              <c16:uniqueId val="{00000000-AB6E-4078-88DB-81614B3136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نسبة الطلبات الملغية</a:t>
            </a:r>
            <a:endParaRPr lang="en-US"/>
          </a:p>
        </c:rich>
      </c:tx>
      <c:layout>
        <c:manualLayout>
          <c:xMode val="edge"/>
          <c:yMode val="edge"/>
          <c:x val="0.37373447069116361"/>
          <c:y val="0.121134295713035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0311"/>
          </a:solidFill>
          <a:ln w="19050">
            <a:solidFill>
              <a:schemeClr val="lt1"/>
            </a:solidFill>
          </a:ln>
          <a:effectLst/>
        </c:spPr>
        <c:dLbl>
          <c:idx val="0"/>
          <c:layout>
            <c:manualLayout>
              <c:x val="7.7730147628394586E-2"/>
              <c:y val="-6.3147240150907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w="19050">
            <a:solidFill>
              <a:schemeClr val="lt1"/>
            </a:solidFill>
          </a:ln>
          <a:effectLst/>
        </c:spPr>
        <c:dLbl>
          <c:idx val="0"/>
          <c:layout>
            <c:manualLayout>
              <c:x val="1.9585768111364303E-2"/>
              <c:y val="-6.8164789084169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3151"/>
          </a:solidFill>
          <a:ln w="19050">
            <a:solidFill>
              <a:schemeClr val="lt1"/>
            </a:solidFill>
          </a:ln>
          <a:effectLst/>
        </c:spPr>
        <c:dLbl>
          <c:idx val="0"/>
          <c:layout>
            <c:manualLayout>
              <c:x val="-1.8876392241800721E-2"/>
              <c:y val="-7.169779904390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tables'!$AP$8</c:f>
              <c:strCache>
                <c:ptCount val="1"/>
                <c:pt idx="0">
                  <c:v>Total</c:v>
                </c:pt>
              </c:strCache>
            </c:strRef>
          </c:tx>
          <c:dPt>
            <c:idx val="0"/>
            <c:bubble3D val="0"/>
            <c:spPr>
              <a:solidFill>
                <a:srgbClr val="A60311"/>
              </a:solidFill>
              <a:ln w="19050">
                <a:solidFill>
                  <a:schemeClr val="lt1"/>
                </a:solidFill>
              </a:ln>
              <a:effectLst/>
            </c:spPr>
            <c:extLst>
              <c:ext xmlns:c16="http://schemas.microsoft.com/office/drawing/2014/chart" uri="{C3380CC4-5D6E-409C-BE32-E72D297353CC}">
                <c16:uniqueId val="{00000002-1FA8-4F72-999D-44C927FD66E4}"/>
              </c:ext>
            </c:extLst>
          </c:dPt>
          <c:dPt>
            <c:idx val="1"/>
            <c:bubble3D val="0"/>
            <c:spPr>
              <a:solidFill>
                <a:srgbClr val="1E3151"/>
              </a:solidFill>
              <a:ln w="19050">
                <a:solidFill>
                  <a:schemeClr val="lt1"/>
                </a:solidFill>
              </a:ln>
              <a:effectLst/>
            </c:spPr>
            <c:extLst>
              <c:ext xmlns:c16="http://schemas.microsoft.com/office/drawing/2014/chart" uri="{C3380CC4-5D6E-409C-BE32-E72D297353CC}">
                <c16:uniqueId val="{00000004-1FA8-4F72-999D-44C927FD66E4}"/>
              </c:ext>
            </c:extLst>
          </c:dPt>
          <c:dPt>
            <c:idx val="2"/>
            <c:bubble3D val="0"/>
            <c:spPr>
              <a:solidFill>
                <a:srgbClr val="F21B2D"/>
              </a:solidFill>
              <a:ln w="19050">
                <a:solidFill>
                  <a:schemeClr val="lt1"/>
                </a:solidFill>
              </a:ln>
              <a:effectLst/>
            </c:spPr>
            <c:extLst>
              <c:ext xmlns:c16="http://schemas.microsoft.com/office/drawing/2014/chart" uri="{C3380CC4-5D6E-409C-BE32-E72D297353CC}">
                <c16:uniqueId val="{00000003-1FA8-4F72-999D-44C927FD66E4}"/>
              </c:ext>
            </c:extLst>
          </c:dPt>
          <c:dLbls>
            <c:dLbl>
              <c:idx val="0"/>
              <c:layout>
                <c:manualLayout>
                  <c:x val="7.7730147628394586E-2"/>
                  <c:y val="-6.31472401509075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A8-4F72-999D-44C927FD66E4}"/>
                </c:ext>
              </c:extLst>
            </c:dLbl>
            <c:dLbl>
              <c:idx val="1"/>
              <c:layout>
                <c:manualLayout>
                  <c:x val="-1.8876392241800721E-2"/>
                  <c:y val="-7.1697799043900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A8-4F72-999D-44C927FD66E4}"/>
                </c:ext>
              </c:extLst>
            </c:dLbl>
            <c:dLbl>
              <c:idx val="2"/>
              <c:layout>
                <c:manualLayout>
                  <c:x val="1.9585768111364303E-2"/>
                  <c:y val="-6.81647890841691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A8-4F72-999D-44C927FD66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tables'!$AO$9:$AO$12</c:f>
              <c:strCache>
                <c:ptCount val="3"/>
                <c:pt idx="0">
                  <c:v>تم التسليم</c:v>
                </c:pt>
                <c:pt idx="1">
                  <c:v>لاغى</c:v>
                </c:pt>
                <c:pt idx="2">
                  <c:v>فشل التسليم</c:v>
                </c:pt>
              </c:strCache>
            </c:strRef>
          </c:cat>
          <c:val>
            <c:numRef>
              <c:f>'Pivot tables'!$AP$9:$AP$12</c:f>
              <c:numCache>
                <c:formatCode>0.00%</c:formatCode>
                <c:ptCount val="3"/>
                <c:pt idx="0">
                  <c:v>0.85</c:v>
                </c:pt>
                <c:pt idx="1">
                  <c:v>0.125</c:v>
                </c:pt>
                <c:pt idx="2">
                  <c:v>2.5000000000000001E-2</c:v>
                </c:pt>
              </c:numCache>
            </c:numRef>
          </c:val>
          <c:extLst>
            <c:ext xmlns:c16="http://schemas.microsoft.com/office/drawing/2014/chart" uri="{C3380CC4-5D6E-409C-BE32-E72D297353CC}">
              <c16:uniqueId val="{00000000-1FA8-4F72-999D-44C927FD66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عدد الأفراد والشركات التي تتعامل معها ماسيو</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E31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tables'!$AZ$8</c:f>
              <c:strCache>
                <c:ptCount val="1"/>
                <c:pt idx="0">
                  <c:v>Total</c:v>
                </c:pt>
              </c:strCache>
            </c:strRef>
          </c:tx>
          <c:spPr>
            <a:solidFill>
              <a:srgbClr val="1E315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tables'!$AY$9:$AY$11</c:f>
              <c:strCache>
                <c:ptCount val="2"/>
                <c:pt idx="0">
                  <c:v>أفراد</c:v>
                </c:pt>
                <c:pt idx="1">
                  <c:v>شركات</c:v>
                </c:pt>
              </c:strCache>
            </c:strRef>
          </c:cat>
          <c:val>
            <c:numRef>
              <c:f>'Pivot tables'!$AZ$9:$AZ$11</c:f>
              <c:numCache>
                <c:formatCode>General</c:formatCode>
                <c:ptCount val="2"/>
                <c:pt idx="0">
                  <c:v>91</c:v>
                </c:pt>
                <c:pt idx="1">
                  <c:v>35</c:v>
                </c:pt>
              </c:numCache>
            </c:numRef>
          </c:val>
          <c:extLst>
            <c:ext xmlns:c16="http://schemas.microsoft.com/office/drawing/2014/chart" uri="{C3380CC4-5D6E-409C-BE32-E72D297353CC}">
              <c16:uniqueId val="{00000000-B1E3-4D84-83F5-2D6B8DD26488}"/>
            </c:ext>
          </c:extLst>
        </c:ser>
        <c:dLbls>
          <c:dLblPos val="outEnd"/>
          <c:showLegendKey val="0"/>
          <c:showVal val="1"/>
          <c:showCatName val="0"/>
          <c:showSerName val="0"/>
          <c:showPercent val="0"/>
          <c:showBubbleSize val="0"/>
        </c:dLbls>
        <c:gapWidth val="219"/>
        <c:overlap val="-27"/>
        <c:axId val="731633215"/>
        <c:axId val="731617375"/>
      </c:barChart>
      <c:catAx>
        <c:axId val="73163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17375"/>
        <c:crosses val="autoZero"/>
        <c:auto val="1"/>
        <c:lblAlgn val="ctr"/>
        <c:lblOffset val="100"/>
        <c:noMultiLvlLbl val="0"/>
      </c:catAx>
      <c:valAx>
        <c:axId val="731617375"/>
        <c:scaling>
          <c:orientation val="minMax"/>
        </c:scaling>
        <c:delete val="1"/>
        <c:axPos val="l"/>
        <c:numFmt formatCode="General" sourceLinked="1"/>
        <c:majorTickMark val="none"/>
        <c:minorTickMark val="none"/>
        <c:tickLblPos val="nextTo"/>
        <c:crossAx val="73163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المنتجات الأعلى والأقل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rgbClr val="1B2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tables'!$A$9:$A$15</c:f>
              <c:strCache>
                <c:ptCount val="6"/>
                <c:pt idx="0">
                  <c:v>سرير</c:v>
                </c:pt>
                <c:pt idx="1">
                  <c:v>كنبة</c:v>
                </c:pt>
                <c:pt idx="2">
                  <c:v>تربيزه</c:v>
                </c:pt>
                <c:pt idx="3">
                  <c:v>كرسى</c:v>
                </c:pt>
                <c:pt idx="4">
                  <c:v>ركنة</c:v>
                </c:pt>
                <c:pt idx="5">
                  <c:v>شيزلونج</c:v>
                </c:pt>
              </c:strCache>
            </c:strRef>
          </c:cat>
          <c:val>
            <c:numRef>
              <c:f>'Pivot tables'!$B$9:$B$15</c:f>
              <c:numCache>
                <c:formatCode>General</c:formatCode>
                <c:ptCount val="6"/>
                <c:pt idx="0">
                  <c:v>88</c:v>
                </c:pt>
                <c:pt idx="1">
                  <c:v>18</c:v>
                </c:pt>
                <c:pt idx="2">
                  <c:v>17</c:v>
                </c:pt>
                <c:pt idx="3">
                  <c:v>1</c:v>
                </c:pt>
                <c:pt idx="4">
                  <c:v>1</c:v>
                </c:pt>
                <c:pt idx="5">
                  <c:v>1</c:v>
                </c:pt>
              </c:numCache>
            </c:numRef>
          </c:val>
          <c:extLst>
            <c:ext xmlns:c16="http://schemas.microsoft.com/office/drawing/2014/chart" uri="{C3380CC4-5D6E-409C-BE32-E72D297353CC}">
              <c16:uniqueId val="{00000000-9BE3-45A3-98BC-8D1C97178450}"/>
            </c:ext>
          </c:extLst>
        </c:ser>
        <c:dLbls>
          <c:dLblPos val="outEnd"/>
          <c:showLegendKey val="0"/>
          <c:showVal val="1"/>
          <c:showCatName val="0"/>
          <c:showSerName val="0"/>
          <c:showPercent val="0"/>
          <c:showBubbleSize val="0"/>
        </c:dLbls>
        <c:gapWidth val="219"/>
        <c:overlap val="-27"/>
        <c:axId val="731637535"/>
        <c:axId val="731638015"/>
      </c:barChart>
      <c:catAx>
        <c:axId val="73163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38015"/>
        <c:crosses val="autoZero"/>
        <c:auto val="1"/>
        <c:lblAlgn val="ctr"/>
        <c:lblOffset val="100"/>
        <c:noMultiLvlLbl val="0"/>
      </c:catAx>
      <c:valAx>
        <c:axId val="73163801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3163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متوسط سعر البيع</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tables'!$Q$8</c:f>
              <c:strCache>
                <c:ptCount val="1"/>
                <c:pt idx="0">
                  <c:v>Total</c:v>
                </c:pt>
              </c:strCache>
            </c:strRef>
          </c:tx>
          <c:spPr>
            <a:solidFill>
              <a:srgbClr val="1B2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tables'!$P$9:$P$15</c:f>
              <c:strCache>
                <c:ptCount val="6"/>
                <c:pt idx="0">
                  <c:v>ركنة</c:v>
                </c:pt>
                <c:pt idx="1">
                  <c:v>كنبة</c:v>
                </c:pt>
                <c:pt idx="2">
                  <c:v>شيزلونج</c:v>
                </c:pt>
                <c:pt idx="3">
                  <c:v>سرير</c:v>
                </c:pt>
                <c:pt idx="4">
                  <c:v>كرسى</c:v>
                </c:pt>
                <c:pt idx="5">
                  <c:v>تربيزه</c:v>
                </c:pt>
              </c:strCache>
            </c:strRef>
          </c:cat>
          <c:val>
            <c:numRef>
              <c:f>'Pivot tables'!$Q$9:$Q$15</c:f>
              <c:numCache>
                <c:formatCode>0</c:formatCode>
                <c:ptCount val="6"/>
                <c:pt idx="0">
                  <c:v>22000</c:v>
                </c:pt>
                <c:pt idx="1">
                  <c:v>14290.777777777777</c:v>
                </c:pt>
                <c:pt idx="2">
                  <c:v>10000</c:v>
                </c:pt>
                <c:pt idx="3">
                  <c:v>9585.747902727273</c:v>
                </c:pt>
                <c:pt idx="4">
                  <c:v>9300</c:v>
                </c:pt>
                <c:pt idx="5">
                  <c:v>8870.9411764705874</c:v>
                </c:pt>
              </c:numCache>
            </c:numRef>
          </c:val>
          <c:extLst>
            <c:ext xmlns:c16="http://schemas.microsoft.com/office/drawing/2014/chart" uri="{C3380CC4-5D6E-409C-BE32-E72D297353CC}">
              <c16:uniqueId val="{00000000-3168-4CAA-BDA1-043D58986505}"/>
            </c:ext>
          </c:extLst>
        </c:ser>
        <c:dLbls>
          <c:dLblPos val="outEnd"/>
          <c:showLegendKey val="0"/>
          <c:showVal val="1"/>
          <c:showCatName val="0"/>
          <c:showSerName val="0"/>
          <c:showPercent val="0"/>
          <c:showBubbleSize val="0"/>
        </c:dLbls>
        <c:gapWidth val="182"/>
        <c:axId val="731644255"/>
        <c:axId val="731640415"/>
      </c:barChart>
      <c:catAx>
        <c:axId val="73164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40415"/>
        <c:crosses val="autoZero"/>
        <c:auto val="1"/>
        <c:lblAlgn val="ctr"/>
        <c:lblOffset val="100"/>
        <c:noMultiLvlLbl val="0"/>
      </c:catAx>
      <c:valAx>
        <c:axId val="731640415"/>
        <c:scaling>
          <c:orientation val="minMax"/>
        </c:scaling>
        <c:delete val="1"/>
        <c:axPos val="b"/>
        <c:numFmt formatCode="0" sourceLinked="1"/>
        <c:majorTickMark val="none"/>
        <c:minorTickMark val="none"/>
        <c:tickLblPos val="nextTo"/>
        <c:crossAx val="73164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عدد المنتجات المباعة حسب المنصة</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tables'!$V$8</c:f>
              <c:strCache>
                <c:ptCount val="1"/>
                <c:pt idx="0">
                  <c:v>Total</c:v>
                </c:pt>
              </c:strCache>
            </c:strRef>
          </c:tx>
          <c:spPr>
            <a:solidFill>
              <a:srgbClr val="1B2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tables'!$U$9:$U$17</c:f>
              <c:strCache>
                <c:ptCount val="8"/>
                <c:pt idx="0">
                  <c:v>هومزمارت</c:v>
                </c:pt>
                <c:pt idx="1">
                  <c:v>شيك هومز</c:v>
                </c:pt>
                <c:pt idx="2">
                  <c:v>اوسكار ريتن</c:v>
                </c:pt>
                <c:pt idx="3">
                  <c:v>تاكى</c:v>
                </c:pt>
                <c:pt idx="4">
                  <c:v>السويس</c:v>
                </c:pt>
                <c:pt idx="5">
                  <c:v>فيس بوك</c:v>
                </c:pt>
                <c:pt idx="6">
                  <c:v>منزلى</c:v>
                </c:pt>
                <c:pt idx="7">
                  <c:v>كيمت</c:v>
                </c:pt>
              </c:strCache>
            </c:strRef>
          </c:cat>
          <c:val>
            <c:numRef>
              <c:f>'Pivot tables'!$V$9:$V$17</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59A5-48A9-951F-BAD40D237415}"/>
            </c:ext>
          </c:extLst>
        </c:ser>
        <c:dLbls>
          <c:dLblPos val="outEnd"/>
          <c:showLegendKey val="0"/>
          <c:showVal val="1"/>
          <c:showCatName val="0"/>
          <c:showSerName val="0"/>
          <c:showPercent val="0"/>
          <c:showBubbleSize val="0"/>
        </c:dLbls>
        <c:gapWidth val="219"/>
        <c:overlap val="-27"/>
        <c:axId val="731633695"/>
        <c:axId val="731624095"/>
      </c:barChart>
      <c:catAx>
        <c:axId val="73163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624095"/>
        <c:crosses val="autoZero"/>
        <c:auto val="1"/>
        <c:lblAlgn val="ctr"/>
        <c:lblOffset val="100"/>
        <c:noMultiLvlLbl val="0"/>
      </c:catAx>
      <c:valAx>
        <c:axId val="731624095"/>
        <c:scaling>
          <c:orientation val="minMax"/>
        </c:scaling>
        <c:delete val="1"/>
        <c:axPos val="l"/>
        <c:numFmt formatCode="General" sourceLinked="1"/>
        <c:majorTickMark val="none"/>
        <c:minorTickMark val="none"/>
        <c:tickLblPos val="nextTo"/>
        <c:crossAx val="73163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لون المعدن الأكثر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tables'!$AA$8</c:f>
              <c:strCache>
                <c:ptCount val="1"/>
                <c:pt idx="0">
                  <c:v>Total</c:v>
                </c:pt>
              </c:strCache>
            </c:strRef>
          </c:tx>
          <c:spPr>
            <a:solidFill>
              <a:srgbClr val="1B2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tables'!$Z$9:$Z$20</c:f>
              <c:strCache>
                <c:ptCount val="11"/>
                <c:pt idx="0">
                  <c:v>أسود</c:v>
                </c:pt>
                <c:pt idx="1">
                  <c:v>أبيض</c:v>
                </c:pt>
                <c:pt idx="2">
                  <c:v>رمادى</c:v>
                </c:pt>
                <c:pt idx="3">
                  <c:v>ازرق</c:v>
                </c:pt>
                <c:pt idx="4">
                  <c:v>الوان</c:v>
                </c:pt>
                <c:pt idx="5">
                  <c:v>بينك</c:v>
                </c:pt>
                <c:pt idx="6">
                  <c:v>دهبي</c:v>
                </c:pt>
                <c:pt idx="7">
                  <c:v>أسود وبنى</c:v>
                </c:pt>
                <c:pt idx="8">
                  <c:v>بنفسجى</c:v>
                </c:pt>
                <c:pt idx="9">
                  <c:v>نبيتى</c:v>
                </c:pt>
                <c:pt idx="10">
                  <c:v>ملون</c:v>
                </c:pt>
              </c:strCache>
            </c:strRef>
          </c:cat>
          <c:val>
            <c:numRef>
              <c:f>'Pivot tables'!$AA$9:$AA$20</c:f>
              <c:numCache>
                <c:formatCode>General</c:formatCode>
                <c:ptCount val="11"/>
                <c:pt idx="0">
                  <c:v>46</c:v>
                </c:pt>
                <c:pt idx="1">
                  <c:v>37</c:v>
                </c:pt>
                <c:pt idx="2">
                  <c:v>6</c:v>
                </c:pt>
                <c:pt idx="3">
                  <c:v>3</c:v>
                </c:pt>
                <c:pt idx="4">
                  <c:v>3</c:v>
                </c:pt>
                <c:pt idx="5">
                  <c:v>2</c:v>
                </c:pt>
                <c:pt idx="6">
                  <c:v>2</c:v>
                </c:pt>
                <c:pt idx="7">
                  <c:v>2</c:v>
                </c:pt>
                <c:pt idx="8">
                  <c:v>2</c:v>
                </c:pt>
                <c:pt idx="9">
                  <c:v>1</c:v>
                </c:pt>
                <c:pt idx="10">
                  <c:v>1</c:v>
                </c:pt>
              </c:numCache>
            </c:numRef>
          </c:val>
          <c:extLst>
            <c:ext xmlns:c16="http://schemas.microsoft.com/office/drawing/2014/chart" uri="{C3380CC4-5D6E-409C-BE32-E72D297353CC}">
              <c16:uniqueId val="{00000000-4442-4E9F-84F6-EE85602E5CC2}"/>
            </c:ext>
          </c:extLst>
        </c:ser>
        <c:dLbls>
          <c:dLblPos val="outEnd"/>
          <c:showLegendKey val="0"/>
          <c:showVal val="1"/>
          <c:showCatName val="0"/>
          <c:showSerName val="0"/>
          <c:showPercent val="0"/>
          <c:showBubbleSize val="0"/>
        </c:dLbls>
        <c:gapWidth val="219"/>
        <c:overlap val="-27"/>
        <c:axId val="66874368"/>
        <c:axId val="66875328"/>
      </c:barChart>
      <c:catAx>
        <c:axId val="6687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75328"/>
        <c:crosses val="autoZero"/>
        <c:auto val="1"/>
        <c:lblAlgn val="ctr"/>
        <c:lblOffset val="100"/>
        <c:noMultiLvlLbl val="0"/>
      </c:catAx>
      <c:valAx>
        <c:axId val="66875328"/>
        <c:scaling>
          <c:orientation val="minMax"/>
        </c:scaling>
        <c:delete val="1"/>
        <c:axPos val="l"/>
        <c:numFmt formatCode="General" sourceLinked="1"/>
        <c:majorTickMark val="none"/>
        <c:minorTickMark val="none"/>
        <c:tickLblPos val="nextTo"/>
        <c:crossAx val="668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لون القماش الأكثر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tables'!$AF$8</c:f>
              <c:strCache>
                <c:ptCount val="1"/>
                <c:pt idx="0">
                  <c:v>Total</c:v>
                </c:pt>
              </c:strCache>
            </c:strRef>
          </c:tx>
          <c:spPr>
            <a:solidFill>
              <a:srgbClr val="1B2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tables'!$AE$9:$AE$20</c:f>
              <c:strCache>
                <c:ptCount val="11"/>
                <c:pt idx="0">
                  <c:v>رمادى</c:v>
                </c:pt>
                <c:pt idx="1">
                  <c:v>أسود</c:v>
                </c:pt>
                <c:pt idx="2">
                  <c:v>بنى غامق</c:v>
                </c:pt>
                <c:pt idx="3">
                  <c:v>نبيتى</c:v>
                </c:pt>
                <c:pt idx="4">
                  <c:v>بترولى</c:v>
                </c:pt>
                <c:pt idx="5">
                  <c:v>أبيض</c:v>
                </c:pt>
                <c:pt idx="6">
                  <c:v>بيج</c:v>
                </c:pt>
                <c:pt idx="7">
                  <c:v>خشب بنى فاتح</c:v>
                </c:pt>
                <c:pt idx="8">
                  <c:v>روك ١٠</c:v>
                </c:pt>
                <c:pt idx="9">
                  <c:v>رصاصي مشجر</c:v>
                </c:pt>
                <c:pt idx="10">
                  <c:v>أبيض في بنى غامق</c:v>
                </c:pt>
              </c:strCache>
            </c:strRef>
          </c:cat>
          <c:val>
            <c:numRef>
              <c:f>'Pivot tables'!$AF$9:$AF$20</c:f>
              <c:numCache>
                <c:formatCode>General</c:formatCode>
                <c:ptCount val="11"/>
                <c:pt idx="0">
                  <c:v>7</c:v>
                </c:pt>
                <c:pt idx="1">
                  <c:v>6</c:v>
                </c:pt>
                <c:pt idx="2">
                  <c:v>3</c:v>
                </c:pt>
                <c:pt idx="3">
                  <c:v>3</c:v>
                </c:pt>
                <c:pt idx="4">
                  <c:v>3</c:v>
                </c:pt>
                <c:pt idx="5">
                  <c:v>2</c:v>
                </c:pt>
                <c:pt idx="6">
                  <c:v>2</c:v>
                </c:pt>
                <c:pt idx="7">
                  <c:v>1</c:v>
                </c:pt>
                <c:pt idx="8">
                  <c:v>1</c:v>
                </c:pt>
                <c:pt idx="9">
                  <c:v>1</c:v>
                </c:pt>
                <c:pt idx="10">
                  <c:v>1</c:v>
                </c:pt>
              </c:numCache>
            </c:numRef>
          </c:val>
          <c:extLst>
            <c:ext xmlns:c16="http://schemas.microsoft.com/office/drawing/2014/chart" uri="{C3380CC4-5D6E-409C-BE32-E72D297353CC}">
              <c16:uniqueId val="{00000000-63D1-48B1-AB8F-970149F7FBF0}"/>
            </c:ext>
          </c:extLst>
        </c:ser>
        <c:dLbls>
          <c:showLegendKey val="0"/>
          <c:showVal val="0"/>
          <c:showCatName val="0"/>
          <c:showSerName val="0"/>
          <c:showPercent val="0"/>
          <c:showBubbleSize val="0"/>
        </c:dLbls>
        <c:gapWidth val="182"/>
        <c:axId val="66879648"/>
        <c:axId val="66896928"/>
      </c:barChart>
      <c:catAx>
        <c:axId val="6687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96928"/>
        <c:crosses val="autoZero"/>
        <c:auto val="1"/>
        <c:lblAlgn val="ctr"/>
        <c:lblOffset val="100"/>
        <c:noMultiLvlLbl val="0"/>
      </c:catAx>
      <c:valAx>
        <c:axId val="66896928"/>
        <c:scaling>
          <c:orientation val="minMax"/>
        </c:scaling>
        <c:delete val="1"/>
        <c:axPos val="b"/>
        <c:numFmt formatCode="General" sourceLinked="1"/>
        <c:majorTickMark val="none"/>
        <c:minorTickMark val="none"/>
        <c:tickLblPos val="nextTo"/>
        <c:crossAx val="6687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المدينة الأكثر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tables'!$AU$8</c:f>
              <c:strCache>
                <c:ptCount val="1"/>
                <c:pt idx="0">
                  <c:v>Total</c:v>
                </c:pt>
              </c:strCache>
            </c:strRef>
          </c:tx>
          <c:spPr>
            <a:solidFill>
              <a:srgbClr val="1B2B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tables'!$AT$9:$AT$18</c:f>
              <c:strCache>
                <c:ptCount val="9"/>
                <c:pt idx="0">
                  <c:v>القاهرة (Cairo)</c:v>
                </c:pt>
                <c:pt idx="1">
                  <c:v>الجيزة (Giza)</c:v>
                </c:pt>
                <c:pt idx="2">
                  <c:v>القليوبية (Qalyubia)</c:v>
                </c:pt>
                <c:pt idx="3">
                  <c:v>السويس (Suez)</c:v>
                </c:pt>
                <c:pt idx="4">
                  <c:v>الإسكندرية (Alexandria)</c:v>
                </c:pt>
                <c:pt idx="5">
                  <c:v>مستودع / مخزن مركزى (Central Warehouse)</c:v>
                </c:pt>
                <c:pt idx="6">
                  <c:v>البحر الأحمر (Red Sea)</c:v>
                </c:pt>
                <c:pt idx="7">
                  <c:v>مطروح (Matrouh)</c:v>
                </c:pt>
                <c:pt idx="8">
                  <c:v>أسيوط (Asyut)</c:v>
                </c:pt>
              </c:strCache>
            </c:strRef>
          </c:cat>
          <c:val>
            <c:numRef>
              <c:f>'Pivot tables'!$AU$9:$AU$18</c:f>
              <c:numCache>
                <c:formatCode>General</c:formatCode>
                <c:ptCount val="9"/>
                <c:pt idx="0">
                  <c:v>60</c:v>
                </c:pt>
                <c:pt idx="1">
                  <c:v>24</c:v>
                </c:pt>
                <c:pt idx="2">
                  <c:v>11</c:v>
                </c:pt>
                <c:pt idx="3">
                  <c:v>8</c:v>
                </c:pt>
                <c:pt idx="4">
                  <c:v>5</c:v>
                </c:pt>
                <c:pt idx="5">
                  <c:v>4</c:v>
                </c:pt>
                <c:pt idx="6">
                  <c:v>3</c:v>
                </c:pt>
                <c:pt idx="7">
                  <c:v>2</c:v>
                </c:pt>
                <c:pt idx="8">
                  <c:v>1</c:v>
                </c:pt>
              </c:numCache>
            </c:numRef>
          </c:val>
          <c:extLst>
            <c:ext xmlns:c16="http://schemas.microsoft.com/office/drawing/2014/chart" uri="{C3380CC4-5D6E-409C-BE32-E72D297353CC}">
              <c16:uniqueId val="{00000000-54CB-4AAB-8666-818508D79216}"/>
            </c:ext>
          </c:extLst>
        </c:ser>
        <c:dLbls>
          <c:showLegendKey val="0"/>
          <c:showVal val="0"/>
          <c:showCatName val="0"/>
          <c:showSerName val="0"/>
          <c:showPercent val="0"/>
          <c:showBubbleSize val="0"/>
        </c:dLbls>
        <c:gapWidth val="219"/>
        <c:overlap val="-27"/>
        <c:axId val="66893568"/>
        <c:axId val="66881088"/>
      </c:barChart>
      <c:catAx>
        <c:axId val="6689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81088"/>
        <c:crosses val="autoZero"/>
        <c:auto val="1"/>
        <c:lblAlgn val="ctr"/>
        <c:lblOffset val="100"/>
        <c:noMultiLvlLbl val="0"/>
      </c:catAx>
      <c:valAx>
        <c:axId val="66881088"/>
        <c:scaling>
          <c:orientation val="minMax"/>
        </c:scaling>
        <c:delete val="1"/>
        <c:axPos val="l"/>
        <c:numFmt formatCode="General" sourceLinked="1"/>
        <c:majorTickMark val="none"/>
        <c:minorTickMark val="none"/>
        <c:tickLblPos val="nextTo"/>
        <c:crossAx val="6689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tables!PivotTable10</c:name>
    <c:fmtId val="2"/>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نسبة الطلبات الملغية</a:t>
            </a:r>
            <a:endParaRPr lang="en-US">
              <a:solidFill>
                <a:srgbClr val="F2F2F2"/>
              </a:solidFill>
            </a:endParaRPr>
          </a:p>
        </c:rich>
      </c:tx>
      <c:layout>
        <c:manualLayout>
          <c:xMode val="edge"/>
          <c:yMode val="edge"/>
          <c:x val="0.37373447069116361"/>
          <c:y val="0.121134295713035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0311"/>
          </a:solidFill>
          <a:ln w="19050">
            <a:solidFill>
              <a:schemeClr val="lt1"/>
            </a:solidFill>
          </a:ln>
          <a:effectLst/>
        </c:spPr>
        <c:dLbl>
          <c:idx val="0"/>
          <c:layout>
            <c:manualLayout>
              <c:x val="7.7730147628394586E-2"/>
              <c:y val="-6.3147240150907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w="19050">
            <a:solidFill>
              <a:schemeClr val="lt1"/>
            </a:solidFill>
          </a:ln>
          <a:effectLst/>
        </c:spPr>
        <c:dLbl>
          <c:idx val="0"/>
          <c:layout>
            <c:manualLayout>
              <c:x val="1.9585768111364303E-2"/>
              <c:y val="-6.8164789084169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3151"/>
          </a:solidFill>
          <a:ln w="19050">
            <a:solidFill>
              <a:schemeClr val="lt1"/>
            </a:solidFill>
          </a:ln>
          <a:effectLst/>
        </c:spPr>
        <c:dLbl>
          <c:idx val="0"/>
          <c:layout>
            <c:manualLayout>
              <c:x val="-1.8876392241800721E-2"/>
              <c:y val="-7.169779904390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0311"/>
          </a:solidFill>
          <a:ln w="19050">
            <a:solidFill>
              <a:schemeClr val="lt1"/>
            </a:solidFill>
          </a:ln>
          <a:effectLst/>
        </c:spPr>
        <c:dLbl>
          <c:idx val="0"/>
          <c:layout>
            <c:manualLayout>
              <c:x val="7.7730147628394586E-2"/>
              <c:y val="-6.3147240150907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3151"/>
          </a:solidFill>
          <a:ln w="19050">
            <a:solidFill>
              <a:schemeClr val="lt1"/>
            </a:solidFill>
          </a:ln>
          <a:effectLst/>
        </c:spPr>
        <c:dLbl>
          <c:idx val="0"/>
          <c:layout>
            <c:manualLayout>
              <c:x val="-1.8876392241800721E-2"/>
              <c:y val="-7.169779904390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1B2D"/>
          </a:solidFill>
          <a:ln w="19050">
            <a:solidFill>
              <a:schemeClr val="lt1"/>
            </a:solidFill>
          </a:ln>
          <a:effectLst/>
        </c:spPr>
        <c:dLbl>
          <c:idx val="0"/>
          <c:layout>
            <c:manualLayout>
              <c:x val="1.9585768111364303E-2"/>
              <c:y val="-6.8164789084169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A6B5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A6B53"/>
          </a:solidFill>
          <a:ln w="19050">
            <a:solidFill>
              <a:schemeClr val="lt1"/>
            </a:solidFill>
          </a:ln>
          <a:effectLst/>
        </c:spPr>
        <c:dLbl>
          <c:idx val="0"/>
          <c:layout>
            <c:manualLayout>
              <c:x val="7.7730147628394586E-2"/>
              <c:y val="-6.31472401509075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1B2D"/>
          </a:solidFill>
          <a:ln w="19050">
            <a:solidFill>
              <a:schemeClr val="lt1"/>
            </a:solidFill>
          </a:ln>
          <a:effectLst/>
        </c:spPr>
        <c:dLbl>
          <c:idx val="0"/>
          <c:layout>
            <c:manualLayout>
              <c:x val="-1.8876392241800721E-2"/>
              <c:y val="-7.1697799043900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F2F2"/>
          </a:solidFill>
          <a:ln w="19050">
            <a:solidFill>
              <a:schemeClr val="lt1"/>
            </a:solidFill>
          </a:ln>
          <a:effectLst/>
        </c:spPr>
        <c:dLbl>
          <c:idx val="0"/>
          <c:layout>
            <c:manualLayout>
              <c:x val="1.9585768111364303E-2"/>
              <c:y val="-6.81647890841691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tables'!$AP$8</c:f>
              <c:strCache>
                <c:ptCount val="1"/>
                <c:pt idx="0">
                  <c:v>Total</c:v>
                </c:pt>
              </c:strCache>
            </c:strRef>
          </c:tx>
          <c:spPr>
            <a:solidFill>
              <a:srgbClr val="4A6B53"/>
            </a:solidFill>
          </c:spPr>
          <c:dPt>
            <c:idx val="0"/>
            <c:bubble3D val="0"/>
            <c:spPr>
              <a:solidFill>
                <a:srgbClr val="4A6B53"/>
              </a:solidFill>
              <a:ln w="19050">
                <a:solidFill>
                  <a:schemeClr val="lt1"/>
                </a:solidFill>
              </a:ln>
              <a:effectLst/>
            </c:spPr>
            <c:extLst>
              <c:ext xmlns:c16="http://schemas.microsoft.com/office/drawing/2014/chart" uri="{C3380CC4-5D6E-409C-BE32-E72D297353CC}">
                <c16:uniqueId val="{00000001-8FA7-41F6-95AA-354BE6FC54A9}"/>
              </c:ext>
            </c:extLst>
          </c:dPt>
          <c:dPt>
            <c:idx val="1"/>
            <c:bubble3D val="0"/>
            <c:spPr>
              <a:solidFill>
                <a:srgbClr val="F21B2D"/>
              </a:solidFill>
              <a:ln w="19050">
                <a:solidFill>
                  <a:schemeClr val="lt1"/>
                </a:solidFill>
              </a:ln>
              <a:effectLst/>
            </c:spPr>
            <c:extLst>
              <c:ext xmlns:c16="http://schemas.microsoft.com/office/drawing/2014/chart" uri="{C3380CC4-5D6E-409C-BE32-E72D297353CC}">
                <c16:uniqueId val="{00000003-8FA7-41F6-95AA-354BE6FC54A9}"/>
              </c:ext>
            </c:extLst>
          </c:dPt>
          <c:dPt>
            <c:idx val="2"/>
            <c:bubble3D val="0"/>
            <c:spPr>
              <a:solidFill>
                <a:srgbClr val="F2F2F2"/>
              </a:solidFill>
              <a:ln w="19050">
                <a:solidFill>
                  <a:schemeClr val="lt1"/>
                </a:solidFill>
              </a:ln>
              <a:effectLst/>
            </c:spPr>
            <c:extLst>
              <c:ext xmlns:c16="http://schemas.microsoft.com/office/drawing/2014/chart" uri="{C3380CC4-5D6E-409C-BE32-E72D297353CC}">
                <c16:uniqueId val="{00000005-8FA7-41F6-95AA-354BE6FC54A9}"/>
              </c:ext>
            </c:extLst>
          </c:dPt>
          <c:dLbls>
            <c:dLbl>
              <c:idx val="0"/>
              <c:layout>
                <c:manualLayout>
                  <c:x val="7.7730147628394586E-2"/>
                  <c:y val="-6.314724015090758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A7-41F6-95AA-354BE6FC54A9}"/>
                </c:ext>
              </c:extLst>
            </c:dLbl>
            <c:dLbl>
              <c:idx val="1"/>
              <c:layout>
                <c:manualLayout>
                  <c:x val="-1.8876392241800721E-2"/>
                  <c:y val="-7.1697799043900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A7-41F6-95AA-354BE6FC54A9}"/>
                </c:ext>
              </c:extLst>
            </c:dLbl>
            <c:dLbl>
              <c:idx val="2"/>
              <c:layout>
                <c:manualLayout>
                  <c:x val="1.9585768111364303E-2"/>
                  <c:y val="-6.816478908416913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A7-41F6-95AA-354BE6FC5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tables'!$AO$9:$AO$12</c:f>
              <c:strCache>
                <c:ptCount val="3"/>
                <c:pt idx="0">
                  <c:v>تم التسليم</c:v>
                </c:pt>
                <c:pt idx="1">
                  <c:v>لاغى</c:v>
                </c:pt>
                <c:pt idx="2">
                  <c:v>فشل التسليم</c:v>
                </c:pt>
              </c:strCache>
            </c:strRef>
          </c:cat>
          <c:val>
            <c:numRef>
              <c:f>'Pivot tables'!$AP$9:$AP$12</c:f>
              <c:numCache>
                <c:formatCode>0.00%</c:formatCode>
                <c:ptCount val="3"/>
                <c:pt idx="0">
                  <c:v>0.85</c:v>
                </c:pt>
                <c:pt idx="1">
                  <c:v>0.125</c:v>
                </c:pt>
                <c:pt idx="2">
                  <c:v>2.5000000000000001E-2</c:v>
                </c:pt>
              </c:numCache>
            </c:numRef>
          </c:val>
          <c:extLst>
            <c:ext xmlns:c16="http://schemas.microsoft.com/office/drawing/2014/chart" uri="{C3380CC4-5D6E-409C-BE32-E72D297353CC}">
              <c16:uniqueId val="{00000006-8FA7-41F6-95AA-354BE6FC54A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tables!PivotTable9</c:name>
    <c:fmtId val="3"/>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نسبة الطلبات التي تم تسليمها في الموعد</a:t>
            </a:r>
            <a:endParaRPr lang="en-US">
              <a:solidFill>
                <a:srgbClr val="F2F2F2"/>
              </a:solidFill>
            </a:endParaRPr>
          </a:p>
        </c:rich>
      </c:tx>
      <c:layout>
        <c:manualLayout>
          <c:xMode val="edge"/>
          <c:yMode val="edge"/>
          <c:x val="0.22583333333333339"/>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60311"/>
          </a:solidFill>
          <a:ln w="19050">
            <a:solidFill>
              <a:schemeClr val="lt1"/>
            </a:solidFill>
          </a:ln>
          <a:effectLst/>
        </c:spPr>
        <c:dLbl>
          <c:idx val="0"/>
          <c:layout>
            <c:manualLayout>
              <c:x val="1.9532480314960628E-2"/>
              <c:y val="-0.17669765237678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w="19050">
            <a:solidFill>
              <a:schemeClr val="lt1"/>
            </a:solidFill>
          </a:ln>
          <a:effectLst/>
        </c:spPr>
        <c:dLbl>
          <c:idx val="0"/>
          <c:layout>
            <c:manualLayout>
              <c:x val="-2.4051181102362203E-2"/>
              <c:y val="7.82553222513856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E3151"/>
          </a:solidFill>
          <a:ln w="19050">
            <a:solidFill>
              <a:schemeClr val="lt1"/>
            </a:solidFill>
          </a:ln>
          <a:effectLst/>
        </c:spPr>
        <c:dLbl>
          <c:idx val="0"/>
          <c:layout>
            <c:manualLayout>
              <c:x val="-9.8244531933508308E-2"/>
              <c:y val="-5.6600685331000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60311"/>
          </a:solidFill>
          <a:ln w="19050">
            <a:solidFill>
              <a:schemeClr val="lt1"/>
            </a:solidFill>
          </a:ln>
          <a:effectLst/>
        </c:spPr>
        <c:dLbl>
          <c:idx val="0"/>
          <c:layout>
            <c:manualLayout>
              <c:x val="1.9532480314960628E-2"/>
              <c:y val="-0.176697652376786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E3151"/>
          </a:solidFill>
          <a:ln w="19050">
            <a:solidFill>
              <a:schemeClr val="lt1"/>
            </a:solidFill>
          </a:ln>
          <a:effectLst/>
        </c:spPr>
        <c:dLbl>
          <c:idx val="0"/>
          <c:layout>
            <c:manualLayout>
              <c:x val="-9.8244531933508308E-2"/>
              <c:y val="-5.6600685331000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21B2D"/>
          </a:solidFill>
          <a:ln w="19050">
            <a:solidFill>
              <a:schemeClr val="lt1"/>
            </a:solidFill>
          </a:ln>
          <a:effectLst/>
        </c:spPr>
        <c:dLbl>
          <c:idx val="0"/>
          <c:layout>
            <c:manualLayout>
              <c:x val="-2.4051181102362203E-2"/>
              <c:y val="7.82553222513856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60311"/>
          </a:solidFill>
          <a:ln w="19050">
            <a:solidFill>
              <a:schemeClr val="lt1"/>
            </a:solidFill>
          </a:ln>
          <a:effectLst/>
        </c:spPr>
        <c:dLbl>
          <c:idx val="0"/>
          <c:layout>
            <c:manualLayout>
              <c:x val="-9.7134295713035876E-2"/>
              <c:y val="-0.17669772528433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2F2F2"/>
          </a:solidFill>
          <a:ln w="19050">
            <a:solidFill>
              <a:schemeClr val="lt1"/>
            </a:solidFill>
          </a:ln>
          <a:effectLst/>
        </c:spPr>
        <c:dLbl>
          <c:idx val="0"/>
          <c:layout>
            <c:manualLayout>
              <c:x val="-9.8244531933508308E-2"/>
              <c:y val="-5.6600685331000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21B2D"/>
          </a:solidFill>
          <a:ln w="19050">
            <a:solidFill>
              <a:schemeClr val="lt1"/>
            </a:solidFill>
          </a:ln>
          <a:effectLst/>
        </c:spPr>
        <c:dLbl>
          <c:idx val="0"/>
          <c:layout>
            <c:manualLayout>
              <c:x val="-2.4051181102362203E-2"/>
              <c:y val="7.825532225138567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tables'!$AK$8</c:f>
              <c:strCache>
                <c:ptCount val="1"/>
                <c:pt idx="0">
                  <c:v>Total</c:v>
                </c:pt>
              </c:strCache>
            </c:strRef>
          </c:tx>
          <c:dPt>
            <c:idx val="0"/>
            <c:bubble3D val="0"/>
            <c:spPr>
              <a:solidFill>
                <a:srgbClr val="A60311"/>
              </a:solidFill>
              <a:ln w="19050">
                <a:solidFill>
                  <a:schemeClr val="lt1"/>
                </a:solidFill>
              </a:ln>
              <a:effectLst/>
            </c:spPr>
            <c:extLst>
              <c:ext xmlns:c16="http://schemas.microsoft.com/office/drawing/2014/chart" uri="{C3380CC4-5D6E-409C-BE32-E72D297353CC}">
                <c16:uniqueId val="{00000001-12F2-4706-9D46-00DC200C3912}"/>
              </c:ext>
            </c:extLst>
          </c:dPt>
          <c:dPt>
            <c:idx val="1"/>
            <c:bubble3D val="0"/>
            <c:spPr>
              <a:solidFill>
                <a:srgbClr val="F2F2F2"/>
              </a:solidFill>
              <a:ln w="19050">
                <a:solidFill>
                  <a:schemeClr val="lt1"/>
                </a:solidFill>
              </a:ln>
              <a:effectLst/>
            </c:spPr>
            <c:extLst>
              <c:ext xmlns:c16="http://schemas.microsoft.com/office/drawing/2014/chart" uri="{C3380CC4-5D6E-409C-BE32-E72D297353CC}">
                <c16:uniqueId val="{00000003-12F2-4706-9D46-00DC200C3912}"/>
              </c:ext>
            </c:extLst>
          </c:dPt>
          <c:dPt>
            <c:idx val="2"/>
            <c:bubble3D val="0"/>
            <c:spPr>
              <a:solidFill>
                <a:srgbClr val="F21B2D"/>
              </a:solidFill>
              <a:ln w="19050">
                <a:solidFill>
                  <a:schemeClr val="lt1"/>
                </a:solidFill>
              </a:ln>
              <a:effectLst/>
            </c:spPr>
            <c:extLst>
              <c:ext xmlns:c16="http://schemas.microsoft.com/office/drawing/2014/chart" uri="{C3380CC4-5D6E-409C-BE32-E72D297353CC}">
                <c16:uniqueId val="{00000005-12F2-4706-9D46-00DC200C3912}"/>
              </c:ext>
            </c:extLst>
          </c:dPt>
          <c:dLbls>
            <c:dLbl>
              <c:idx val="0"/>
              <c:layout>
                <c:manualLayout>
                  <c:x val="-9.7134295713035876E-2"/>
                  <c:y val="-0.176697725284339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F2-4706-9D46-00DC200C3912}"/>
                </c:ext>
              </c:extLst>
            </c:dLbl>
            <c:dLbl>
              <c:idx val="1"/>
              <c:layout>
                <c:manualLayout>
                  <c:x val="-9.8244531933508308E-2"/>
                  <c:y val="-5.66006853310002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F2-4706-9D46-00DC200C3912}"/>
                </c:ext>
              </c:extLst>
            </c:dLbl>
            <c:dLbl>
              <c:idx val="2"/>
              <c:layout>
                <c:manualLayout>
                  <c:x val="-2.4051181102362203E-2"/>
                  <c:y val="7.825532225138567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F2-4706-9D46-00DC200C39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tables'!$AJ$9:$AJ$12</c:f>
              <c:strCache>
                <c:ptCount val="3"/>
                <c:pt idx="0">
                  <c:v>تم التسليم بعد الموعد</c:v>
                </c:pt>
                <c:pt idx="1">
                  <c:v>تم التسليم قبل الموعد</c:v>
                </c:pt>
                <c:pt idx="2">
                  <c:v>لا يوجد تاريخ</c:v>
                </c:pt>
              </c:strCache>
            </c:strRef>
          </c:cat>
          <c:val>
            <c:numRef>
              <c:f>'Pivot tables'!$AK$9:$AK$12</c:f>
              <c:numCache>
                <c:formatCode>0%</c:formatCode>
                <c:ptCount val="3"/>
                <c:pt idx="0">
                  <c:v>0.42857142857142855</c:v>
                </c:pt>
                <c:pt idx="1">
                  <c:v>0.31746031746031744</c:v>
                </c:pt>
                <c:pt idx="2">
                  <c:v>0.25396825396825395</c:v>
                </c:pt>
              </c:numCache>
            </c:numRef>
          </c:val>
          <c:extLst>
            <c:ext xmlns:c16="http://schemas.microsoft.com/office/drawing/2014/chart" uri="{C3380CC4-5D6E-409C-BE32-E72D297353CC}">
              <c16:uniqueId val="{00000006-12F2-4706-9D46-00DC200C39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tables!PivotTable11</c:name>
    <c:fmtId val="2"/>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t>المدينة الأكثر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tables'!$AU$8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tables'!$AT$9:$AT$18</c:f>
              <c:strCache>
                <c:ptCount val="9"/>
                <c:pt idx="0">
                  <c:v>القاهرة (Cairo)</c:v>
                </c:pt>
                <c:pt idx="1">
                  <c:v>الجيزة (Giza)</c:v>
                </c:pt>
                <c:pt idx="2">
                  <c:v>القليوبية (Qalyubia)</c:v>
                </c:pt>
                <c:pt idx="3">
                  <c:v>السويس (Suez)</c:v>
                </c:pt>
                <c:pt idx="4">
                  <c:v>الإسكندرية (Alexandria)</c:v>
                </c:pt>
                <c:pt idx="5">
                  <c:v>مستودع / مخزن مركزى (Central Warehouse)</c:v>
                </c:pt>
                <c:pt idx="6">
                  <c:v>البحر الأحمر (Red Sea)</c:v>
                </c:pt>
                <c:pt idx="7">
                  <c:v>مطروح (Matrouh)</c:v>
                </c:pt>
                <c:pt idx="8">
                  <c:v>أسيوط (Asyut)</c:v>
                </c:pt>
              </c:strCache>
            </c:strRef>
          </c:cat>
          <c:val>
            <c:numRef>
              <c:f>'Pivot tables'!$AU$9:$AU$18</c:f>
              <c:numCache>
                <c:formatCode>General</c:formatCode>
                <c:ptCount val="9"/>
                <c:pt idx="0">
                  <c:v>60</c:v>
                </c:pt>
                <c:pt idx="1">
                  <c:v>24</c:v>
                </c:pt>
                <c:pt idx="2">
                  <c:v>11</c:v>
                </c:pt>
                <c:pt idx="3">
                  <c:v>8</c:v>
                </c:pt>
                <c:pt idx="4">
                  <c:v>5</c:v>
                </c:pt>
                <c:pt idx="5">
                  <c:v>4</c:v>
                </c:pt>
                <c:pt idx="6">
                  <c:v>3</c:v>
                </c:pt>
                <c:pt idx="7">
                  <c:v>2</c:v>
                </c:pt>
                <c:pt idx="8">
                  <c:v>1</c:v>
                </c:pt>
              </c:numCache>
            </c:numRef>
          </c:val>
          <c:extLst>
            <c:ext xmlns:c16="http://schemas.microsoft.com/office/drawing/2014/chart" uri="{C3380CC4-5D6E-409C-BE32-E72D297353CC}">
              <c16:uniqueId val="{00000000-DC8C-483B-A799-70F983544A56}"/>
            </c:ext>
          </c:extLst>
        </c:ser>
        <c:dLbls>
          <c:showLegendKey val="0"/>
          <c:showVal val="0"/>
          <c:showCatName val="0"/>
          <c:showSerName val="0"/>
          <c:showPercent val="0"/>
          <c:showBubbleSize val="0"/>
        </c:dLbls>
        <c:gapWidth val="219"/>
        <c:overlap val="-27"/>
        <c:axId val="66893568"/>
        <c:axId val="66881088"/>
      </c:barChart>
      <c:catAx>
        <c:axId val="6689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66881088"/>
        <c:crosses val="autoZero"/>
        <c:auto val="1"/>
        <c:lblAlgn val="ctr"/>
        <c:lblOffset val="100"/>
        <c:noMultiLvlLbl val="0"/>
      </c:catAx>
      <c:valAx>
        <c:axId val="66881088"/>
        <c:scaling>
          <c:orientation val="minMax"/>
        </c:scaling>
        <c:delete val="1"/>
        <c:axPos val="l"/>
        <c:numFmt formatCode="General" sourceLinked="1"/>
        <c:majorTickMark val="none"/>
        <c:minorTickMark val="none"/>
        <c:tickLblPos val="nextTo"/>
        <c:crossAx val="6689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2F2F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tables!PivotTable12</c:name>
    <c:fmtId val="5"/>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عدد الأفراد والشركات التي تتعامل معها ماسيو</a:t>
            </a:r>
            <a:endParaRPr lang="en-US">
              <a:solidFill>
                <a:srgbClr val="F2F2F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E31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E315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tables'!$AZ$8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tables'!$AY$9:$AY$11</c:f>
              <c:strCache>
                <c:ptCount val="2"/>
                <c:pt idx="0">
                  <c:v>أفراد</c:v>
                </c:pt>
                <c:pt idx="1">
                  <c:v>شركات</c:v>
                </c:pt>
              </c:strCache>
            </c:strRef>
          </c:cat>
          <c:val>
            <c:numRef>
              <c:f>'Pivot tables'!$AZ$9:$AZ$11</c:f>
              <c:numCache>
                <c:formatCode>General</c:formatCode>
                <c:ptCount val="2"/>
                <c:pt idx="0">
                  <c:v>91</c:v>
                </c:pt>
                <c:pt idx="1">
                  <c:v>35</c:v>
                </c:pt>
              </c:numCache>
            </c:numRef>
          </c:val>
          <c:extLst>
            <c:ext xmlns:c16="http://schemas.microsoft.com/office/drawing/2014/chart" uri="{C3380CC4-5D6E-409C-BE32-E72D297353CC}">
              <c16:uniqueId val="{00000000-74D1-47B2-8900-A8F4E5B72477}"/>
            </c:ext>
          </c:extLst>
        </c:ser>
        <c:dLbls>
          <c:dLblPos val="outEnd"/>
          <c:showLegendKey val="0"/>
          <c:showVal val="1"/>
          <c:showCatName val="0"/>
          <c:showSerName val="0"/>
          <c:showPercent val="0"/>
          <c:showBubbleSize val="0"/>
        </c:dLbls>
        <c:gapWidth val="219"/>
        <c:overlap val="-27"/>
        <c:axId val="731633215"/>
        <c:axId val="731617375"/>
      </c:barChart>
      <c:catAx>
        <c:axId val="73163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731617375"/>
        <c:crosses val="autoZero"/>
        <c:auto val="1"/>
        <c:lblAlgn val="ctr"/>
        <c:lblOffset val="100"/>
        <c:noMultiLvlLbl val="0"/>
      </c:catAx>
      <c:valAx>
        <c:axId val="731617375"/>
        <c:scaling>
          <c:orientation val="minMax"/>
        </c:scaling>
        <c:delete val="1"/>
        <c:axPos val="l"/>
        <c:numFmt formatCode="General" sourceLinked="1"/>
        <c:majorTickMark val="none"/>
        <c:minorTickMark val="none"/>
        <c:tickLblPos val="nextTo"/>
        <c:crossAx val="73163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tables!PivotTable1</c:name>
    <c:fmtId val="3"/>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t>المنتجات الأعلى والأقل مبيعا</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tables'!$A$9:$A$15</c:f>
              <c:strCache>
                <c:ptCount val="6"/>
                <c:pt idx="0">
                  <c:v>سرير</c:v>
                </c:pt>
                <c:pt idx="1">
                  <c:v>كنبة</c:v>
                </c:pt>
                <c:pt idx="2">
                  <c:v>تربيزه</c:v>
                </c:pt>
                <c:pt idx="3">
                  <c:v>كرسى</c:v>
                </c:pt>
                <c:pt idx="4">
                  <c:v>ركنة</c:v>
                </c:pt>
                <c:pt idx="5">
                  <c:v>شيزلونج</c:v>
                </c:pt>
              </c:strCache>
            </c:strRef>
          </c:cat>
          <c:val>
            <c:numRef>
              <c:f>'Pivot tables'!$B$9:$B$15</c:f>
              <c:numCache>
                <c:formatCode>General</c:formatCode>
                <c:ptCount val="6"/>
                <c:pt idx="0">
                  <c:v>88</c:v>
                </c:pt>
                <c:pt idx="1">
                  <c:v>18</c:v>
                </c:pt>
                <c:pt idx="2">
                  <c:v>17</c:v>
                </c:pt>
                <c:pt idx="3">
                  <c:v>1</c:v>
                </c:pt>
                <c:pt idx="4">
                  <c:v>1</c:v>
                </c:pt>
                <c:pt idx="5">
                  <c:v>1</c:v>
                </c:pt>
              </c:numCache>
            </c:numRef>
          </c:val>
          <c:extLst>
            <c:ext xmlns:c16="http://schemas.microsoft.com/office/drawing/2014/chart" uri="{C3380CC4-5D6E-409C-BE32-E72D297353CC}">
              <c16:uniqueId val="{00000000-1380-43F5-A021-6D6E2422FC08}"/>
            </c:ext>
          </c:extLst>
        </c:ser>
        <c:dLbls>
          <c:dLblPos val="outEnd"/>
          <c:showLegendKey val="0"/>
          <c:showVal val="1"/>
          <c:showCatName val="0"/>
          <c:showSerName val="0"/>
          <c:showPercent val="0"/>
          <c:showBubbleSize val="0"/>
        </c:dLbls>
        <c:gapWidth val="219"/>
        <c:overlap val="-27"/>
        <c:axId val="731637535"/>
        <c:axId val="731638015"/>
      </c:barChart>
      <c:catAx>
        <c:axId val="73163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731638015"/>
        <c:crosses val="autoZero"/>
        <c:auto val="1"/>
        <c:lblAlgn val="ctr"/>
        <c:lblOffset val="100"/>
        <c:noMultiLvlLbl val="0"/>
      </c:catAx>
      <c:valAx>
        <c:axId val="731638015"/>
        <c:scaling>
          <c:orientation val="minMax"/>
        </c:scaling>
        <c:delete val="1"/>
        <c:axPos val="l"/>
        <c:numFmt formatCode="General" sourceLinked="1"/>
        <c:majorTickMark val="none"/>
        <c:minorTickMark val="none"/>
        <c:tickLblPos val="nextTo"/>
        <c:crossAx val="73163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F2F2F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tables!PivotTable4</c:name>
    <c:fmtId val="3"/>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متوسط سعر البيع</a:t>
            </a:r>
            <a:endParaRPr lang="en-US">
              <a:solidFill>
                <a:srgbClr val="F2F2F2"/>
              </a:solidFill>
            </a:endParaRPr>
          </a:p>
        </c:rich>
      </c:tx>
      <c:layout>
        <c:manualLayout>
          <c:xMode val="edge"/>
          <c:yMode val="edge"/>
          <c:x val="0.5174469316713054"/>
          <c:y val="4.97762669534149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tables'!$Q$8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tables'!$P$9:$P$15</c:f>
              <c:strCache>
                <c:ptCount val="6"/>
                <c:pt idx="0">
                  <c:v>ركنة</c:v>
                </c:pt>
                <c:pt idx="1">
                  <c:v>كنبة</c:v>
                </c:pt>
                <c:pt idx="2">
                  <c:v>شيزلونج</c:v>
                </c:pt>
                <c:pt idx="3">
                  <c:v>سرير</c:v>
                </c:pt>
                <c:pt idx="4">
                  <c:v>كرسى</c:v>
                </c:pt>
                <c:pt idx="5">
                  <c:v>تربيزه</c:v>
                </c:pt>
              </c:strCache>
            </c:strRef>
          </c:cat>
          <c:val>
            <c:numRef>
              <c:f>'Pivot tables'!$Q$9:$Q$15</c:f>
              <c:numCache>
                <c:formatCode>0</c:formatCode>
                <c:ptCount val="6"/>
                <c:pt idx="0">
                  <c:v>22000</c:v>
                </c:pt>
                <c:pt idx="1">
                  <c:v>14290.777777777777</c:v>
                </c:pt>
                <c:pt idx="2">
                  <c:v>10000</c:v>
                </c:pt>
                <c:pt idx="3">
                  <c:v>9585.747902727273</c:v>
                </c:pt>
                <c:pt idx="4">
                  <c:v>9300</c:v>
                </c:pt>
                <c:pt idx="5">
                  <c:v>8870.9411764705874</c:v>
                </c:pt>
              </c:numCache>
            </c:numRef>
          </c:val>
          <c:extLst>
            <c:ext xmlns:c16="http://schemas.microsoft.com/office/drawing/2014/chart" uri="{C3380CC4-5D6E-409C-BE32-E72D297353CC}">
              <c16:uniqueId val="{00000001-06DF-4990-AE3C-B112F9978C1A}"/>
            </c:ext>
          </c:extLst>
        </c:ser>
        <c:dLbls>
          <c:dLblPos val="outEnd"/>
          <c:showLegendKey val="0"/>
          <c:showVal val="1"/>
          <c:showCatName val="0"/>
          <c:showSerName val="0"/>
          <c:showPercent val="0"/>
          <c:showBubbleSize val="0"/>
        </c:dLbls>
        <c:gapWidth val="182"/>
        <c:axId val="731644255"/>
        <c:axId val="731640415"/>
      </c:barChart>
      <c:catAx>
        <c:axId val="73164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731640415"/>
        <c:crosses val="autoZero"/>
        <c:auto val="1"/>
        <c:lblAlgn val="ctr"/>
        <c:lblOffset val="100"/>
        <c:noMultiLvlLbl val="0"/>
      </c:catAx>
      <c:valAx>
        <c:axId val="731640415"/>
        <c:scaling>
          <c:orientation val="minMax"/>
        </c:scaling>
        <c:delete val="1"/>
        <c:axPos val="b"/>
        <c:numFmt formatCode="0" sourceLinked="1"/>
        <c:majorTickMark val="none"/>
        <c:minorTickMark val="none"/>
        <c:tickLblPos val="nextTo"/>
        <c:crossAx val="731644255"/>
        <c:crosses val="autoZero"/>
        <c:crossBetween val="between"/>
      </c:valAx>
      <c:spPr>
        <a:noFill/>
        <a:ln>
          <a:noFill/>
        </a:ln>
        <a:effectLst/>
      </c:spPr>
    </c:plotArea>
    <c:legend>
      <c:legendPos val="r"/>
      <c:layout>
        <c:manualLayout>
          <c:xMode val="edge"/>
          <c:yMode val="edge"/>
          <c:x val="0.66666666666666674"/>
          <c:y val="0.19023147987558825"/>
          <c:w val="0.30312185297079558"/>
          <c:h val="0.3322354804768346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tables!PivotTable5</c:name>
    <c:fmtId val="2"/>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عدد المنتجات المباعة حسب المنصة</a:t>
            </a:r>
            <a:endParaRPr lang="en-US">
              <a:solidFill>
                <a:srgbClr val="F2F2F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tables'!$V$8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tables'!$U$9:$U$17</c:f>
              <c:strCache>
                <c:ptCount val="8"/>
                <c:pt idx="0">
                  <c:v>هومزمارت</c:v>
                </c:pt>
                <c:pt idx="1">
                  <c:v>شيك هومز</c:v>
                </c:pt>
                <c:pt idx="2">
                  <c:v>اوسكار ريتن</c:v>
                </c:pt>
                <c:pt idx="3">
                  <c:v>تاكى</c:v>
                </c:pt>
                <c:pt idx="4">
                  <c:v>السويس</c:v>
                </c:pt>
                <c:pt idx="5">
                  <c:v>فيس بوك</c:v>
                </c:pt>
                <c:pt idx="6">
                  <c:v>منزلى</c:v>
                </c:pt>
                <c:pt idx="7">
                  <c:v>كيمت</c:v>
                </c:pt>
              </c:strCache>
            </c:strRef>
          </c:cat>
          <c:val>
            <c:numRef>
              <c:f>'Pivot tables'!$V$9:$V$17</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CD69-480B-8E2D-2337104ABADF}"/>
            </c:ext>
          </c:extLst>
        </c:ser>
        <c:dLbls>
          <c:dLblPos val="outEnd"/>
          <c:showLegendKey val="0"/>
          <c:showVal val="1"/>
          <c:showCatName val="0"/>
          <c:showSerName val="0"/>
          <c:showPercent val="0"/>
          <c:showBubbleSize val="0"/>
        </c:dLbls>
        <c:gapWidth val="219"/>
        <c:overlap val="-27"/>
        <c:axId val="731633695"/>
        <c:axId val="731624095"/>
      </c:barChart>
      <c:catAx>
        <c:axId val="731633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731624095"/>
        <c:crosses val="autoZero"/>
        <c:auto val="1"/>
        <c:lblAlgn val="ctr"/>
        <c:lblOffset val="100"/>
        <c:noMultiLvlLbl val="0"/>
      </c:catAx>
      <c:valAx>
        <c:axId val="731624095"/>
        <c:scaling>
          <c:orientation val="minMax"/>
        </c:scaling>
        <c:delete val="1"/>
        <c:axPos val="l"/>
        <c:numFmt formatCode="General" sourceLinked="1"/>
        <c:majorTickMark val="none"/>
        <c:minorTickMark val="none"/>
        <c:tickLblPos val="nextTo"/>
        <c:crossAx val="73163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tables!PivotTable6</c:name>
    <c:fmtId val="2"/>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لون المعدن الأكثر مبيعا</a:t>
            </a:r>
            <a:endParaRPr lang="en-US">
              <a:solidFill>
                <a:srgbClr val="F2F2F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tables'!$Z$9:$Z$20</c:f>
              <c:strCache>
                <c:ptCount val="11"/>
                <c:pt idx="0">
                  <c:v>أسود</c:v>
                </c:pt>
                <c:pt idx="1">
                  <c:v>أبيض</c:v>
                </c:pt>
                <c:pt idx="2">
                  <c:v>رمادى</c:v>
                </c:pt>
                <c:pt idx="3">
                  <c:v>ازرق</c:v>
                </c:pt>
                <c:pt idx="4">
                  <c:v>الوان</c:v>
                </c:pt>
                <c:pt idx="5">
                  <c:v>بينك</c:v>
                </c:pt>
                <c:pt idx="6">
                  <c:v>دهبي</c:v>
                </c:pt>
                <c:pt idx="7">
                  <c:v>أسود وبنى</c:v>
                </c:pt>
                <c:pt idx="8">
                  <c:v>بنفسجى</c:v>
                </c:pt>
                <c:pt idx="9">
                  <c:v>نبيتى</c:v>
                </c:pt>
                <c:pt idx="10">
                  <c:v>ملون</c:v>
                </c:pt>
              </c:strCache>
            </c:strRef>
          </c:cat>
          <c:val>
            <c:numRef>
              <c:f>'Pivot tables'!$AA$9:$AA$20</c:f>
              <c:numCache>
                <c:formatCode>General</c:formatCode>
                <c:ptCount val="11"/>
                <c:pt idx="0">
                  <c:v>46</c:v>
                </c:pt>
                <c:pt idx="1">
                  <c:v>37</c:v>
                </c:pt>
                <c:pt idx="2">
                  <c:v>6</c:v>
                </c:pt>
                <c:pt idx="3">
                  <c:v>3</c:v>
                </c:pt>
                <c:pt idx="4">
                  <c:v>3</c:v>
                </c:pt>
                <c:pt idx="5">
                  <c:v>2</c:v>
                </c:pt>
                <c:pt idx="6">
                  <c:v>2</c:v>
                </c:pt>
                <c:pt idx="7">
                  <c:v>2</c:v>
                </c:pt>
                <c:pt idx="8">
                  <c:v>2</c:v>
                </c:pt>
                <c:pt idx="9">
                  <c:v>1</c:v>
                </c:pt>
                <c:pt idx="10">
                  <c:v>1</c:v>
                </c:pt>
              </c:numCache>
            </c:numRef>
          </c:val>
          <c:extLst>
            <c:ext xmlns:c16="http://schemas.microsoft.com/office/drawing/2014/chart" uri="{C3380CC4-5D6E-409C-BE32-E72D297353CC}">
              <c16:uniqueId val="{00000000-15AA-49A1-B298-6BF5FEC31F3F}"/>
            </c:ext>
          </c:extLst>
        </c:ser>
        <c:dLbls>
          <c:dLblPos val="outEnd"/>
          <c:showLegendKey val="0"/>
          <c:showVal val="1"/>
          <c:showCatName val="0"/>
          <c:showSerName val="0"/>
          <c:showPercent val="0"/>
          <c:showBubbleSize val="0"/>
        </c:dLbls>
        <c:gapWidth val="219"/>
        <c:overlap val="-27"/>
        <c:axId val="66874368"/>
        <c:axId val="66875328"/>
      </c:barChart>
      <c:catAx>
        <c:axId val="6687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66875328"/>
        <c:crosses val="autoZero"/>
        <c:auto val="1"/>
        <c:lblAlgn val="ctr"/>
        <c:lblOffset val="100"/>
        <c:noMultiLvlLbl val="0"/>
      </c:catAx>
      <c:valAx>
        <c:axId val="66875328"/>
        <c:scaling>
          <c:orientation val="minMax"/>
        </c:scaling>
        <c:delete val="1"/>
        <c:axPos val="l"/>
        <c:numFmt formatCode="General" sourceLinked="1"/>
        <c:majorTickMark val="none"/>
        <c:minorTickMark val="none"/>
        <c:tickLblPos val="nextTo"/>
        <c:crossAx val="6687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[MISUO - Amr Mohamed Basyouni Shaaban.xlsx]Pivot tables!PivotTable7</c:name>
    <c:fmtId val="3"/>
  </c:pivotSource>
  <c:chart>
    <c:title>
      <c:tx>
        <c:rich>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r>
              <a:rPr lang="ar-EG">
                <a:solidFill>
                  <a:srgbClr val="F2F2F2"/>
                </a:solidFill>
              </a:rPr>
              <a:t>لون القماش الأكثر مبيعا</a:t>
            </a:r>
            <a:endParaRPr lang="en-US">
              <a:solidFill>
                <a:srgbClr val="F2F2F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2F2F2"/>
              </a:solidFill>
              <a:latin typeface="+mn-lt"/>
              <a:ea typeface="+mn-ea"/>
              <a:cs typeface="+mn-cs"/>
            </a:defRPr>
          </a:pPr>
          <a:endParaRPr lang="en-US"/>
        </a:p>
      </c:txPr>
    </c:title>
    <c:autoTitleDeleted val="0"/>
    <c:pivotFmts>
      <c:pivotFmt>
        <c:idx val="0"/>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2B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1B2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tables'!$AF$8</c:f>
              <c:strCache>
                <c:ptCount val="1"/>
                <c:pt idx="0">
                  <c:v>Total</c:v>
                </c:pt>
              </c:strCache>
            </c:strRef>
          </c:tx>
          <c:spPr>
            <a:solidFill>
              <a:srgbClr val="F21B2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F2F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tables'!$AE$9:$AE$20</c:f>
              <c:strCache>
                <c:ptCount val="11"/>
                <c:pt idx="0">
                  <c:v>رمادى</c:v>
                </c:pt>
                <c:pt idx="1">
                  <c:v>أسود</c:v>
                </c:pt>
                <c:pt idx="2">
                  <c:v>بنى غامق</c:v>
                </c:pt>
                <c:pt idx="3">
                  <c:v>نبيتى</c:v>
                </c:pt>
                <c:pt idx="4">
                  <c:v>بترولى</c:v>
                </c:pt>
                <c:pt idx="5">
                  <c:v>أبيض</c:v>
                </c:pt>
                <c:pt idx="6">
                  <c:v>بيج</c:v>
                </c:pt>
                <c:pt idx="7">
                  <c:v>خشب بنى فاتح</c:v>
                </c:pt>
                <c:pt idx="8">
                  <c:v>روك ١٠</c:v>
                </c:pt>
                <c:pt idx="9">
                  <c:v>رصاصي مشجر</c:v>
                </c:pt>
                <c:pt idx="10">
                  <c:v>أبيض في بنى غامق</c:v>
                </c:pt>
              </c:strCache>
            </c:strRef>
          </c:cat>
          <c:val>
            <c:numRef>
              <c:f>'Pivot tables'!$AF$9:$AF$20</c:f>
              <c:numCache>
                <c:formatCode>General</c:formatCode>
                <c:ptCount val="11"/>
                <c:pt idx="0">
                  <c:v>7</c:v>
                </c:pt>
                <c:pt idx="1">
                  <c:v>6</c:v>
                </c:pt>
                <c:pt idx="2">
                  <c:v>3</c:v>
                </c:pt>
                <c:pt idx="3">
                  <c:v>3</c:v>
                </c:pt>
                <c:pt idx="4">
                  <c:v>3</c:v>
                </c:pt>
                <c:pt idx="5">
                  <c:v>2</c:v>
                </c:pt>
                <c:pt idx="6">
                  <c:v>2</c:v>
                </c:pt>
                <c:pt idx="7">
                  <c:v>1</c:v>
                </c:pt>
                <c:pt idx="8">
                  <c:v>1</c:v>
                </c:pt>
                <c:pt idx="9">
                  <c:v>1</c:v>
                </c:pt>
                <c:pt idx="10">
                  <c:v>1</c:v>
                </c:pt>
              </c:numCache>
            </c:numRef>
          </c:val>
          <c:extLst>
            <c:ext xmlns:c16="http://schemas.microsoft.com/office/drawing/2014/chart" uri="{C3380CC4-5D6E-409C-BE32-E72D297353CC}">
              <c16:uniqueId val="{00000000-672A-45B8-BAC0-86AFC1A59E0A}"/>
            </c:ext>
          </c:extLst>
        </c:ser>
        <c:dLbls>
          <c:showLegendKey val="0"/>
          <c:showVal val="0"/>
          <c:showCatName val="0"/>
          <c:showSerName val="0"/>
          <c:showPercent val="0"/>
          <c:showBubbleSize val="0"/>
        </c:dLbls>
        <c:gapWidth val="182"/>
        <c:axId val="66879648"/>
        <c:axId val="66896928"/>
      </c:barChart>
      <c:catAx>
        <c:axId val="66879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crossAx val="66896928"/>
        <c:crosses val="autoZero"/>
        <c:auto val="1"/>
        <c:lblAlgn val="ctr"/>
        <c:lblOffset val="100"/>
        <c:noMultiLvlLbl val="0"/>
      </c:catAx>
      <c:valAx>
        <c:axId val="66896928"/>
        <c:scaling>
          <c:orientation val="minMax"/>
        </c:scaling>
        <c:delete val="1"/>
        <c:axPos val="b"/>
        <c:numFmt formatCode="General" sourceLinked="1"/>
        <c:majorTickMark val="none"/>
        <c:minorTickMark val="none"/>
        <c:tickLblPos val="nextTo"/>
        <c:crossAx val="66879648"/>
        <c:crosses val="autoZero"/>
        <c:crossBetween val="between"/>
      </c:valAx>
      <c:spPr>
        <a:noFill/>
        <a:ln>
          <a:noFill/>
        </a:ln>
        <a:effectLst/>
      </c:spPr>
    </c:plotArea>
    <c:legend>
      <c:legendPos val="r"/>
      <c:layout>
        <c:manualLayout>
          <c:xMode val="edge"/>
          <c:yMode val="edge"/>
          <c:x val="9.1804213248854155E-2"/>
          <c:y val="0.69291027970616104"/>
          <c:w val="0.1744737264984734"/>
          <c:h val="8.6908866421283135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2F2F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1.jpeg"/><Relationship Id="rId6" Type="http://schemas.openxmlformats.org/officeDocument/2006/relationships/chart" Target="../charts/chart14.xml"/><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35</xdr:col>
      <xdr:colOff>15240</xdr:colOff>
      <xdr:row>12</xdr:row>
      <xdr:rowOff>118110</xdr:rowOff>
    </xdr:from>
    <xdr:to>
      <xdr:col>37</xdr:col>
      <xdr:colOff>99060</xdr:colOff>
      <xdr:row>23</xdr:row>
      <xdr:rowOff>26670</xdr:rowOff>
    </xdr:to>
    <xdr:graphicFrame macro="">
      <xdr:nvGraphicFramePr>
        <xdr:cNvPr id="2" name="Chart 1">
          <a:extLst>
            <a:ext uri="{FF2B5EF4-FFF2-40B4-BE49-F238E27FC236}">
              <a16:creationId xmlns:a16="http://schemas.microsoft.com/office/drawing/2014/main" id="{1918DD88-3C9D-DB77-F620-B845F66D7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45720</xdr:colOff>
      <xdr:row>14</xdr:row>
      <xdr:rowOff>57150</xdr:rowOff>
    </xdr:from>
    <xdr:to>
      <xdr:col>42</xdr:col>
      <xdr:colOff>342900</xdr:colOff>
      <xdr:row>24</xdr:row>
      <xdr:rowOff>148590</xdr:rowOff>
    </xdr:to>
    <xdr:graphicFrame macro="">
      <xdr:nvGraphicFramePr>
        <xdr:cNvPr id="3" name="Chart 2">
          <a:extLst>
            <a:ext uri="{FF2B5EF4-FFF2-40B4-BE49-F238E27FC236}">
              <a16:creationId xmlns:a16="http://schemas.microsoft.com/office/drawing/2014/main" id="{63392864-DCAE-0631-DC67-8695AB9496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15240</xdr:colOff>
      <xdr:row>11</xdr:row>
      <xdr:rowOff>41910</xdr:rowOff>
    </xdr:from>
    <xdr:to>
      <xdr:col>54</xdr:col>
      <xdr:colOff>289560</xdr:colOff>
      <xdr:row>17</xdr:row>
      <xdr:rowOff>388620</xdr:rowOff>
    </xdr:to>
    <xdr:graphicFrame macro="">
      <xdr:nvGraphicFramePr>
        <xdr:cNvPr id="4" name="Chart 3">
          <a:extLst>
            <a:ext uri="{FF2B5EF4-FFF2-40B4-BE49-F238E27FC236}">
              <a16:creationId xmlns:a16="http://schemas.microsoft.com/office/drawing/2014/main" id="{1057EED4-2982-32B0-CE68-16D992805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160020</xdr:colOff>
      <xdr:row>18</xdr:row>
      <xdr:rowOff>171450</xdr:rowOff>
    </xdr:from>
    <xdr:to>
      <xdr:col>3</xdr:col>
      <xdr:colOff>190500</xdr:colOff>
      <xdr:row>28</xdr:row>
      <xdr:rowOff>144780</xdr:rowOff>
    </xdr:to>
    <xdr:graphicFrame macro="">
      <xdr:nvGraphicFramePr>
        <xdr:cNvPr id="5" name="Chart 4">
          <a:extLst>
            <a:ext uri="{FF2B5EF4-FFF2-40B4-BE49-F238E27FC236}">
              <a16:creationId xmlns:a16="http://schemas.microsoft.com/office/drawing/2014/main" id="{7DD46EC7-0F95-1ECC-8262-8090AAC70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xdr:colOff>
      <xdr:row>15</xdr:row>
      <xdr:rowOff>95250</xdr:rowOff>
    </xdr:from>
    <xdr:to>
      <xdr:col>18</xdr:col>
      <xdr:colOff>419100</xdr:colOff>
      <xdr:row>25</xdr:row>
      <xdr:rowOff>60960</xdr:rowOff>
    </xdr:to>
    <xdr:graphicFrame macro="">
      <xdr:nvGraphicFramePr>
        <xdr:cNvPr id="7" name="Chart 6">
          <a:extLst>
            <a:ext uri="{FF2B5EF4-FFF2-40B4-BE49-F238E27FC236}">
              <a16:creationId xmlns:a16="http://schemas.microsoft.com/office/drawing/2014/main" id="{581EE179-D7EB-C64C-40A8-63995B791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xdr:colOff>
      <xdr:row>17</xdr:row>
      <xdr:rowOff>80010</xdr:rowOff>
    </xdr:from>
    <xdr:to>
      <xdr:col>23</xdr:col>
      <xdr:colOff>99060</xdr:colOff>
      <xdr:row>27</xdr:row>
      <xdr:rowOff>45720</xdr:rowOff>
    </xdr:to>
    <xdr:graphicFrame macro="">
      <xdr:nvGraphicFramePr>
        <xdr:cNvPr id="8" name="Chart 7">
          <a:extLst>
            <a:ext uri="{FF2B5EF4-FFF2-40B4-BE49-F238E27FC236}">
              <a16:creationId xmlns:a16="http://schemas.microsoft.com/office/drawing/2014/main" id="{A0C91520-5D26-C5B5-74AA-D23931758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601980</xdr:colOff>
      <xdr:row>20</xdr:row>
      <xdr:rowOff>49530</xdr:rowOff>
    </xdr:from>
    <xdr:to>
      <xdr:col>28</xdr:col>
      <xdr:colOff>457200</xdr:colOff>
      <xdr:row>32</xdr:row>
      <xdr:rowOff>106680</xdr:rowOff>
    </xdr:to>
    <xdr:graphicFrame macro="">
      <xdr:nvGraphicFramePr>
        <xdr:cNvPr id="9" name="Chart 8">
          <a:extLst>
            <a:ext uri="{FF2B5EF4-FFF2-40B4-BE49-F238E27FC236}">
              <a16:creationId xmlns:a16="http://schemas.microsoft.com/office/drawing/2014/main" id="{7FE46618-3367-3A05-4F88-ABD552941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45720</xdr:colOff>
      <xdr:row>20</xdr:row>
      <xdr:rowOff>34290</xdr:rowOff>
    </xdr:from>
    <xdr:to>
      <xdr:col>33</xdr:col>
      <xdr:colOff>594360</xdr:colOff>
      <xdr:row>32</xdr:row>
      <xdr:rowOff>106680</xdr:rowOff>
    </xdr:to>
    <xdr:graphicFrame macro="">
      <xdr:nvGraphicFramePr>
        <xdr:cNvPr id="10" name="Chart 9">
          <a:extLst>
            <a:ext uri="{FF2B5EF4-FFF2-40B4-BE49-F238E27FC236}">
              <a16:creationId xmlns:a16="http://schemas.microsoft.com/office/drawing/2014/main" id="{2BDF1F35-F69C-58E0-6DAE-F540AB253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45</xdr:col>
      <xdr:colOff>15240</xdr:colOff>
      <xdr:row>18</xdr:row>
      <xdr:rowOff>19050</xdr:rowOff>
    </xdr:from>
    <xdr:to>
      <xdr:col>48</xdr:col>
      <xdr:colOff>259080</xdr:colOff>
      <xdr:row>42</xdr:row>
      <xdr:rowOff>76200</xdr:rowOff>
    </xdr:to>
    <xdr:graphicFrame macro="">
      <xdr:nvGraphicFramePr>
        <xdr:cNvPr id="11" name="Chart 10">
          <a:extLst>
            <a:ext uri="{FF2B5EF4-FFF2-40B4-BE49-F238E27FC236}">
              <a16:creationId xmlns:a16="http://schemas.microsoft.com/office/drawing/2014/main" id="{5909F14D-7821-8CFB-E81C-962CB9DFF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26</xdr:col>
      <xdr:colOff>266700</xdr:colOff>
      <xdr:row>11</xdr:row>
      <xdr:rowOff>114300</xdr:rowOff>
    </xdr:from>
    <xdr:to>
      <xdr:col>28</xdr:col>
      <xdr:colOff>358140</xdr:colOff>
      <xdr:row>23</xdr:row>
      <xdr:rowOff>20955</xdr:rowOff>
    </xdr:to>
    <mc:AlternateContent xmlns:mc="http://schemas.openxmlformats.org/markup-compatibility/2006">
      <mc:Choice xmlns:a14="http://schemas.microsoft.com/office/drawing/2010/main" Requires="a14">
        <xdr:graphicFrame macro="">
          <xdr:nvGraphicFramePr>
            <xdr:cNvPr id="12" name="المدينة">
              <a:extLst>
                <a:ext uri="{FF2B5EF4-FFF2-40B4-BE49-F238E27FC236}">
                  <a16:creationId xmlns:a16="http://schemas.microsoft.com/office/drawing/2014/main" id="{806B4E48-4051-A835-1854-A6CB3CC7648A}"/>
                </a:ext>
              </a:extLst>
            </xdr:cNvPr>
            <xdr:cNvGraphicFramePr/>
          </xdr:nvGraphicFramePr>
          <xdr:xfrm>
            <a:off x="0" y="0"/>
            <a:ext cx="0" cy="0"/>
          </xdr:xfrm>
          <a:graphic>
            <a:graphicData uri="http://schemas.microsoft.com/office/drawing/2010/slicer">
              <sle:slicer xmlns:sle="http://schemas.microsoft.com/office/drawing/2010/slicer" name="المدينة"/>
            </a:graphicData>
          </a:graphic>
        </xdr:graphicFrame>
      </mc:Choice>
      <mc:Fallback>
        <xdr:sp macro="" textlink="">
          <xdr:nvSpPr>
            <xdr:cNvPr id="0" name=""/>
            <xdr:cNvSpPr>
              <a:spLocks noTextEdit="1"/>
            </xdr:cNvSpPr>
          </xdr:nvSpPr>
          <xdr:spPr>
            <a:xfrm>
              <a:off x="19933920" y="212598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137160</xdr:colOff>
      <xdr:row>20</xdr:row>
      <xdr:rowOff>129540</xdr:rowOff>
    </xdr:from>
    <xdr:to>
      <xdr:col>25</xdr:col>
      <xdr:colOff>137160</xdr:colOff>
      <xdr:row>34</xdr:row>
      <xdr:rowOff>36195</xdr:rowOff>
    </xdr:to>
    <mc:AlternateContent xmlns:mc="http://schemas.openxmlformats.org/markup-compatibility/2006">
      <mc:Choice xmlns:a14="http://schemas.microsoft.com/office/drawing/2010/main" Requires="a14">
        <xdr:graphicFrame macro="">
          <xdr:nvGraphicFramePr>
            <xdr:cNvPr id="13" name="Column1">
              <a:extLst>
                <a:ext uri="{FF2B5EF4-FFF2-40B4-BE49-F238E27FC236}">
                  <a16:creationId xmlns:a16="http://schemas.microsoft.com/office/drawing/2014/main" id="{8CE440CA-6FBB-CBA7-319F-D4603948540B}"/>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17114520" y="415290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647700</xdr:colOff>
      <xdr:row>9</xdr:row>
      <xdr:rowOff>121920</xdr:rowOff>
    </xdr:from>
    <xdr:to>
      <xdr:col>24</xdr:col>
      <xdr:colOff>129540</xdr:colOff>
      <xdr:row>21</xdr:row>
      <xdr:rowOff>28575</xdr:rowOff>
    </xdr:to>
    <mc:AlternateContent xmlns:mc="http://schemas.openxmlformats.org/markup-compatibility/2006">
      <mc:Choice xmlns:a14="http://schemas.microsoft.com/office/drawing/2010/main" Requires="a14">
        <xdr:graphicFrame macro="">
          <xdr:nvGraphicFramePr>
            <xdr:cNvPr id="14" name="الحالة1">
              <a:extLst>
                <a:ext uri="{FF2B5EF4-FFF2-40B4-BE49-F238E27FC236}">
                  <a16:creationId xmlns:a16="http://schemas.microsoft.com/office/drawing/2014/main" id="{0B667E29-BF4F-E75B-810F-9EE0AB2E1346}"/>
                </a:ext>
              </a:extLst>
            </xdr:cNvPr>
            <xdr:cNvGraphicFramePr/>
          </xdr:nvGraphicFramePr>
          <xdr:xfrm>
            <a:off x="0" y="0"/>
            <a:ext cx="0" cy="0"/>
          </xdr:xfrm>
          <a:graphic>
            <a:graphicData uri="http://schemas.microsoft.com/office/drawing/2010/slicer">
              <sle:slicer xmlns:sle="http://schemas.microsoft.com/office/drawing/2010/slicer" name="الحالة1"/>
            </a:graphicData>
          </a:graphic>
        </xdr:graphicFrame>
      </mc:Choice>
      <mc:Fallback>
        <xdr:sp macro="" textlink="">
          <xdr:nvSpPr>
            <xdr:cNvPr id="0" name=""/>
            <xdr:cNvSpPr>
              <a:spLocks noTextEdit="1"/>
            </xdr:cNvSpPr>
          </xdr:nvSpPr>
          <xdr:spPr>
            <a:xfrm>
              <a:off x="16497300" y="1767840"/>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274320</xdr:colOff>
      <xdr:row>0</xdr:row>
      <xdr:rowOff>53340</xdr:rowOff>
    </xdr:from>
    <xdr:to>
      <xdr:col>17</xdr:col>
      <xdr:colOff>167640</xdr:colOff>
      <xdr:row>7</xdr:row>
      <xdr:rowOff>76200</xdr:rowOff>
    </xdr:to>
    <xdr:sp macro="" textlink="">
      <xdr:nvSpPr>
        <xdr:cNvPr id="2" name="Rectangle: Rounded Corners 1">
          <a:extLst>
            <a:ext uri="{FF2B5EF4-FFF2-40B4-BE49-F238E27FC236}">
              <a16:creationId xmlns:a16="http://schemas.microsoft.com/office/drawing/2014/main" id="{3BDF71C3-B6B0-E529-7464-4A1378A3B24D}"/>
            </a:ext>
          </a:extLst>
        </xdr:cNvPr>
        <xdr:cNvSpPr/>
      </xdr:nvSpPr>
      <xdr:spPr>
        <a:xfrm>
          <a:off x="3322320" y="53340"/>
          <a:ext cx="7208520" cy="130302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5400" b="1">
              <a:solidFill>
                <a:srgbClr val="F2F2F2"/>
              </a:solidFill>
            </a:rPr>
            <a:t>Sales Dashboard</a:t>
          </a:r>
        </a:p>
      </xdr:txBody>
    </xdr:sp>
    <xdr:clientData/>
  </xdr:twoCellAnchor>
  <xdr:twoCellAnchor>
    <xdr:from>
      <xdr:col>0</xdr:col>
      <xdr:colOff>121920</xdr:colOff>
      <xdr:row>0</xdr:row>
      <xdr:rowOff>114300</xdr:rowOff>
    </xdr:from>
    <xdr:to>
      <xdr:col>2</xdr:col>
      <xdr:colOff>434340</xdr:colOff>
      <xdr:row>55</xdr:row>
      <xdr:rowOff>53340</xdr:rowOff>
    </xdr:to>
    <xdr:sp macro="" textlink="">
      <xdr:nvSpPr>
        <xdr:cNvPr id="3" name="Rectangle: Rounded Corners 2">
          <a:extLst>
            <a:ext uri="{FF2B5EF4-FFF2-40B4-BE49-F238E27FC236}">
              <a16:creationId xmlns:a16="http://schemas.microsoft.com/office/drawing/2014/main" id="{2F70B891-B77E-E83B-28CA-D33D893760EE}"/>
            </a:ext>
          </a:extLst>
        </xdr:cNvPr>
        <xdr:cNvSpPr/>
      </xdr:nvSpPr>
      <xdr:spPr>
        <a:xfrm>
          <a:off x="121920" y="114300"/>
          <a:ext cx="1531620" cy="999744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365761</xdr:colOff>
      <xdr:row>1</xdr:row>
      <xdr:rowOff>121921</xdr:rowOff>
    </xdr:from>
    <xdr:to>
      <xdr:col>2</xdr:col>
      <xdr:colOff>121921</xdr:colOff>
      <xdr:row>7</xdr:row>
      <xdr:rowOff>1</xdr:rowOff>
    </xdr:to>
    <xdr:pic>
      <xdr:nvPicPr>
        <xdr:cNvPr id="5" name="Picture 4">
          <a:extLst>
            <a:ext uri="{FF2B5EF4-FFF2-40B4-BE49-F238E27FC236}">
              <a16:creationId xmlns:a16="http://schemas.microsoft.com/office/drawing/2014/main" id="{F55AF6C3-3089-8ED9-BBBB-4A9A66DE15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5761" y="304801"/>
          <a:ext cx="975360" cy="975360"/>
        </a:xfrm>
        <a:prstGeom prst="rect">
          <a:avLst/>
        </a:prstGeom>
      </xdr:spPr>
    </xdr:pic>
    <xdr:clientData/>
  </xdr:twoCellAnchor>
  <xdr:twoCellAnchor>
    <xdr:from>
      <xdr:col>5</xdr:col>
      <xdr:colOff>266700</xdr:colOff>
      <xdr:row>8</xdr:row>
      <xdr:rowOff>167640</xdr:rowOff>
    </xdr:from>
    <xdr:to>
      <xdr:col>10</xdr:col>
      <xdr:colOff>350520</xdr:colOff>
      <xdr:row>13</xdr:row>
      <xdr:rowOff>60960</xdr:rowOff>
    </xdr:to>
    <xdr:sp macro="" textlink="">
      <xdr:nvSpPr>
        <xdr:cNvPr id="7" name="Rectangle: Rounded Corners 6">
          <a:extLst>
            <a:ext uri="{FF2B5EF4-FFF2-40B4-BE49-F238E27FC236}">
              <a16:creationId xmlns:a16="http://schemas.microsoft.com/office/drawing/2014/main" id="{9E7D9DAC-D15A-4ED5-BA3B-E00FEE5F88F5}"/>
            </a:ext>
          </a:extLst>
        </xdr:cNvPr>
        <xdr:cNvSpPr/>
      </xdr:nvSpPr>
      <xdr:spPr>
        <a:xfrm>
          <a:off x="3314700" y="1630680"/>
          <a:ext cx="3131820" cy="80772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EG" sz="1400" b="1">
              <a:solidFill>
                <a:srgbClr val="F2F2F2"/>
              </a:solidFill>
            </a:rPr>
            <a:t>إجمالى</a:t>
          </a:r>
          <a:r>
            <a:rPr lang="ar-EG" sz="1400" b="1" baseline="0">
              <a:solidFill>
                <a:srgbClr val="F2F2F2"/>
              </a:solidFill>
            </a:rPr>
            <a:t> المبيعات</a:t>
          </a:r>
        </a:p>
      </xdr:txBody>
    </xdr:sp>
    <xdr:clientData/>
  </xdr:twoCellAnchor>
  <xdr:oneCellAnchor>
    <xdr:from>
      <xdr:col>7</xdr:col>
      <xdr:colOff>60960</xdr:colOff>
      <xdr:row>10</xdr:row>
      <xdr:rowOff>144780</xdr:rowOff>
    </xdr:from>
    <xdr:ext cx="1242060" cy="281940"/>
    <xdr:sp macro="" textlink="'Pivot tables'!G12">
      <xdr:nvSpPr>
        <xdr:cNvPr id="8" name="TextBox 7">
          <a:extLst>
            <a:ext uri="{FF2B5EF4-FFF2-40B4-BE49-F238E27FC236}">
              <a16:creationId xmlns:a16="http://schemas.microsoft.com/office/drawing/2014/main" id="{06BA1B59-AE0E-2D51-D6C2-39C8F53FD78A}"/>
            </a:ext>
          </a:extLst>
        </xdr:cNvPr>
        <xdr:cNvSpPr txBox="1"/>
      </xdr:nvSpPr>
      <xdr:spPr>
        <a:xfrm>
          <a:off x="4328160" y="1973580"/>
          <a:ext cx="1242060" cy="2819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7E2128B6-9093-496E-8300-86A94A661DAF}" type="TxLink">
            <a:rPr lang="en-US" sz="1100" b="0" i="0" u="none" strike="noStrike">
              <a:solidFill>
                <a:srgbClr val="F2F2F2"/>
              </a:solidFill>
              <a:latin typeface="Calibri"/>
              <a:ea typeface="Calibri"/>
              <a:cs typeface="Calibri"/>
            </a:rPr>
            <a:pPr algn="ctr"/>
            <a:t> 1,292,886 </a:t>
          </a:fld>
          <a:endParaRPr lang="en-GB" sz="1100">
            <a:solidFill>
              <a:srgbClr val="F2F2F2"/>
            </a:solidFill>
          </a:endParaRPr>
        </a:p>
      </xdr:txBody>
    </xdr:sp>
    <xdr:clientData/>
  </xdr:oneCellAnchor>
  <xdr:twoCellAnchor>
    <xdr:from>
      <xdr:col>12</xdr:col>
      <xdr:colOff>426720</xdr:colOff>
      <xdr:row>8</xdr:row>
      <xdr:rowOff>137160</xdr:rowOff>
    </xdr:from>
    <xdr:to>
      <xdr:col>17</xdr:col>
      <xdr:colOff>175260</xdr:colOff>
      <xdr:row>13</xdr:row>
      <xdr:rowOff>45720</xdr:rowOff>
    </xdr:to>
    <xdr:sp macro="" textlink="">
      <xdr:nvSpPr>
        <xdr:cNvPr id="9" name="Rectangle: Rounded Corners 8">
          <a:extLst>
            <a:ext uri="{FF2B5EF4-FFF2-40B4-BE49-F238E27FC236}">
              <a16:creationId xmlns:a16="http://schemas.microsoft.com/office/drawing/2014/main" id="{83D6B9F5-7B52-451D-A566-C93AACA769E6}"/>
            </a:ext>
          </a:extLst>
        </xdr:cNvPr>
        <xdr:cNvSpPr/>
      </xdr:nvSpPr>
      <xdr:spPr>
        <a:xfrm>
          <a:off x="7741920" y="1600200"/>
          <a:ext cx="2796540" cy="82296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ar-EG" sz="1400" b="1">
              <a:solidFill>
                <a:srgbClr val="F2F2F2"/>
              </a:solidFill>
            </a:rPr>
            <a:t>عدد الطلبات</a:t>
          </a:r>
          <a:endParaRPr lang="ar-EG" sz="1400" b="1" baseline="0">
            <a:solidFill>
              <a:srgbClr val="F2F2F2"/>
            </a:solidFill>
          </a:endParaRPr>
        </a:p>
      </xdr:txBody>
    </xdr:sp>
    <xdr:clientData/>
  </xdr:twoCellAnchor>
  <xdr:oneCellAnchor>
    <xdr:from>
      <xdr:col>14</xdr:col>
      <xdr:colOff>76200</xdr:colOff>
      <xdr:row>10</xdr:row>
      <xdr:rowOff>99060</xdr:rowOff>
    </xdr:from>
    <xdr:ext cx="1120140" cy="264560"/>
    <xdr:sp macro="" textlink="'Pivot tables'!L12">
      <xdr:nvSpPr>
        <xdr:cNvPr id="10" name="TextBox 9">
          <a:extLst>
            <a:ext uri="{FF2B5EF4-FFF2-40B4-BE49-F238E27FC236}">
              <a16:creationId xmlns:a16="http://schemas.microsoft.com/office/drawing/2014/main" id="{09460C14-0807-CEFB-237E-96F68493082C}"/>
            </a:ext>
          </a:extLst>
        </xdr:cNvPr>
        <xdr:cNvSpPr txBox="1"/>
      </xdr:nvSpPr>
      <xdr:spPr>
        <a:xfrm>
          <a:off x="8610600" y="1927860"/>
          <a:ext cx="11201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780460-8BA1-4C05-9DAA-FE606B57B293}" type="TxLink">
            <a:rPr lang="en-US" sz="1100" b="0" i="0" u="none" strike="noStrike">
              <a:solidFill>
                <a:srgbClr val="F2F2F2"/>
              </a:solidFill>
              <a:latin typeface="Calibri"/>
              <a:ea typeface="Calibri"/>
              <a:cs typeface="Calibri"/>
            </a:rPr>
            <a:pPr algn="ctr"/>
            <a:t>126</a:t>
          </a:fld>
          <a:endParaRPr lang="en-GB" sz="1100">
            <a:solidFill>
              <a:srgbClr val="F2F2F2"/>
            </a:solidFill>
          </a:endParaRPr>
        </a:p>
      </xdr:txBody>
    </xdr:sp>
    <xdr:clientData/>
  </xdr:oneCellAnchor>
  <xdr:twoCellAnchor>
    <xdr:from>
      <xdr:col>19</xdr:col>
      <xdr:colOff>7620</xdr:colOff>
      <xdr:row>14</xdr:row>
      <xdr:rowOff>144780</xdr:rowOff>
    </xdr:from>
    <xdr:to>
      <xdr:col>23</xdr:col>
      <xdr:colOff>312420</xdr:colOff>
      <xdr:row>29</xdr:row>
      <xdr:rowOff>144780</xdr:rowOff>
    </xdr:to>
    <xdr:sp macro="" textlink="">
      <xdr:nvSpPr>
        <xdr:cNvPr id="11" name="Rectangle: Rounded Corners 10">
          <a:extLst>
            <a:ext uri="{FF2B5EF4-FFF2-40B4-BE49-F238E27FC236}">
              <a16:creationId xmlns:a16="http://schemas.microsoft.com/office/drawing/2014/main" id="{6B813C12-37D4-99D7-8D2A-E18980BF004C}"/>
            </a:ext>
          </a:extLst>
        </xdr:cNvPr>
        <xdr:cNvSpPr/>
      </xdr:nvSpPr>
      <xdr:spPr>
        <a:xfrm>
          <a:off x="11590020" y="2705100"/>
          <a:ext cx="2743200" cy="2743200"/>
        </a:xfrm>
        <a:prstGeom prst="roundRect">
          <a:avLst/>
        </a:prstGeom>
        <a:solidFill>
          <a:srgbClr val="1E31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18</xdr:col>
      <xdr:colOff>594360</xdr:colOff>
      <xdr:row>38</xdr:row>
      <xdr:rowOff>38100</xdr:rowOff>
    </xdr:from>
    <xdr:to>
      <xdr:col>23</xdr:col>
      <xdr:colOff>289560</xdr:colOff>
      <xdr:row>53</xdr:row>
      <xdr:rowOff>38100</xdr:rowOff>
    </xdr:to>
    <xdr:sp macro="" textlink="">
      <xdr:nvSpPr>
        <xdr:cNvPr id="12" name="Rectangle: Rounded Corners 11">
          <a:extLst>
            <a:ext uri="{FF2B5EF4-FFF2-40B4-BE49-F238E27FC236}">
              <a16:creationId xmlns:a16="http://schemas.microsoft.com/office/drawing/2014/main" id="{258A97F5-9B17-40FF-A387-682A43D8C33A}"/>
            </a:ext>
          </a:extLst>
        </xdr:cNvPr>
        <xdr:cNvSpPr/>
      </xdr:nvSpPr>
      <xdr:spPr>
        <a:xfrm>
          <a:off x="11567160" y="6987540"/>
          <a:ext cx="2743200" cy="2743200"/>
        </a:xfrm>
        <a:prstGeom prst="roundRect">
          <a:avLst/>
        </a:prstGeom>
        <a:solidFill>
          <a:srgbClr val="1E315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259080</xdr:colOff>
      <xdr:row>15</xdr:row>
      <xdr:rowOff>167640</xdr:rowOff>
    </xdr:from>
    <xdr:to>
      <xdr:col>23</xdr:col>
      <xdr:colOff>106680</xdr:colOff>
      <xdr:row>28</xdr:row>
      <xdr:rowOff>76200</xdr:rowOff>
    </xdr:to>
    <xdr:graphicFrame macro="">
      <xdr:nvGraphicFramePr>
        <xdr:cNvPr id="13" name="Chart 12">
          <a:extLst>
            <a:ext uri="{FF2B5EF4-FFF2-40B4-BE49-F238E27FC236}">
              <a16:creationId xmlns:a16="http://schemas.microsoft.com/office/drawing/2014/main" id="{A6D69B57-51E3-4363-80E4-68C63A191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205740</xdr:colOff>
      <xdr:row>39</xdr:row>
      <xdr:rowOff>68580</xdr:rowOff>
    </xdr:from>
    <xdr:to>
      <xdr:col>23</xdr:col>
      <xdr:colOff>53340</xdr:colOff>
      <xdr:row>51</xdr:row>
      <xdr:rowOff>160020</xdr:rowOff>
    </xdr:to>
    <xdr:graphicFrame macro="">
      <xdr:nvGraphicFramePr>
        <xdr:cNvPr id="14" name="Chart 13">
          <a:extLst>
            <a:ext uri="{FF2B5EF4-FFF2-40B4-BE49-F238E27FC236}">
              <a16:creationId xmlns:a16="http://schemas.microsoft.com/office/drawing/2014/main" id="{8578AC94-60B2-42C9-BB0E-01A8477C92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99060</xdr:colOff>
      <xdr:row>41</xdr:row>
      <xdr:rowOff>45720</xdr:rowOff>
    </xdr:from>
    <xdr:to>
      <xdr:col>18</xdr:col>
      <xdr:colOff>403860</xdr:colOff>
      <xdr:row>58</xdr:row>
      <xdr:rowOff>137160</xdr:rowOff>
    </xdr:to>
    <xdr:sp macro="" textlink="">
      <xdr:nvSpPr>
        <xdr:cNvPr id="16" name="Rectangle: Rounded Corners 15">
          <a:extLst>
            <a:ext uri="{FF2B5EF4-FFF2-40B4-BE49-F238E27FC236}">
              <a16:creationId xmlns:a16="http://schemas.microsoft.com/office/drawing/2014/main" id="{AEE527D2-19B9-45AD-AC56-39400F2976DA}"/>
            </a:ext>
          </a:extLst>
        </xdr:cNvPr>
        <xdr:cNvSpPr/>
      </xdr:nvSpPr>
      <xdr:spPr>
        <a:xfrm>
          <a:off x="6804660" y="7543800"/>
          <a:ext cx="4572000" cy="320040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4</xdr:col>
      <xdr:colOff>106680</xdr:colOff>
      <xdr:row>41</xdr:row>
      <xdr:rowOff>99060</xdr:rowOff>
    </xdr:from>
    <xdr:to>
      <xdr:col>10</xdr:col>
      <xdr:colOff>129540</xdr:colOff>
      <xdr:row>58</xdr:row>
      <xdr:rowOff>114300</xdr:rowOff>
    </xdr:to>
    <xdr:sp macro="" textlink="">
      <xdr:nvSpPr>
        <xdr:cNvPr id="17" name="Rectangle: Rounded Corners 16">
          <a:extLst>
            <a:ext uri="{FF2B5EF4-FFF2-40B4-BE49-F238E27FC236}">
              <a16:creationId xmlns:a16="http://schemas.microsoft.com/office/drawing/2014/main" id="{CC971AC8-0B4A-4CBF-AFF2-81D439406E84}"/>
            </a:ext>
          </a:extLst>
        </xdr:cNvPr>
        <xdr:cNvSpPr/>
      </xdr:nvSpPr>
      <xdr:spPr>
        <a:xfrm>
          <a:off x="2545080" y="7597140"/>
          <a:ext cx="3680460" cy="312420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12</xdr:col>
      <xdr:colOff>381000</xdr:colOff>
      <xdr:row>13</xdr:row>
      <xdr:rowOff>144780</xdr:rowOff>
    </xdr:from>
    <xdr:to>
      <xdr:col>17</xdr:col>
      <xdr:colOff>228600</xdr:colOff>
      <xdr:row>24</xdr:row>
      <xdr:rowOff>53340</xdr:rowOff>
    </xdr:to>
    <xdr:sp macro="" textlink="">
      <xdr:nvSpPr>
        <xdr:cNvPr id="18" name="Rectangle: Rounded Corners 17">
          <a:extLst>
            <a:ext uri="{FF2B5EF4-FFF2-40B4-BE49-F238E27FC236}">
              <a16:creationId xmlns:a16="http://schemas.microsoft.com/office/drawing/2014/main" id="{44BCED26-9A5A-4E86-948A-48DA644F286C}"/>
            </a:ext>
          </a:extLst>
        </xdr:cNvPr>
        <xdr:cNvSpPr/>
      </xdr:nvSpPr>
      <xdr:spPr>
        <a:xfrm>
          <a:off x="7696200" y="2522220"/>
          <a:ext cx="2895600" cy="192024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5</xdr:col>
      <xdr:colOff>205740</xdr:colOff>
      <xdr:row>13</xdr:row>
      <xdr:rowOff>137160</xdr:rowOff>
    </xdr:from>
    <xdr:to>
      <xdr:col>10</xdr:col>
      <xdr:colOff>320040</xdr:colOff>
      <xdr:row>23</xdr:row>
      <xdr:rowOff>160020</xdr:rowOff>
    </xdr:to>
    <xdr:sp macro="" textlink="">
      <xdr:nvSpPr>
        <xdr:cNvPr id="19" name="Rectangle: Rounded Corners 18">
          <a:extLst>
            <a:ext uri="{FF2B5EF4-FFF2-40B4-BE49-F238E27FC236}">
              <a16:creationId xmlns:a16="http://schemas.microsoft.com/office/drawing/2014/main" id="{F60FF8DE-F485-4FE4-BF6B-671E6D9A5BA9}"/>
            </a:ext>
          </a:extLst>
        </xdr:cNvPr>
        <xdr:cNvSpPr/>
      </xdr:nvSpPr>
      <xdr:spPr>
        <a:xfrm>
          <a:off x="3253740" y="2514600"/>
          <a:ext cx="3162300" cy="1851660"/>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2</xdr:col>
      <xdr:colOff>525780</xdr:colOff>
      <xdr:row>25</xdr:row>
      <xdr:rowOff>15240</xdr:rowOff>
    </xdr:from>
    <xdr:to>
      <xdr:col>8</xdr:col>
      <xdr:colOff>106680</xdr:colOff>
      <xdr:row>40</xdr:row>
      <xdr:rowOff>32982</xdr:rowOff>
    </xdr:to>
    <xdr:sp macro="" textlink="">
      <xdr:nvSpPr>
        <xdr:cNvPr id="20" name="Rectangle: Rounded Corners 19">
          <a:extLst>
            <a:ext uri="{FF2B5EF4-FFF2-40B4-BE49-F238E27FC236}">
              <a16:creationId xmlns:a16="http://schemas.microsoft.com/office/drawing/2014/main" id="{0CE54607-1AD8-4D0F-A59F-B398AC342578}"/>
            </a:ext>
          </a:extLst>
        </xdr:cNvPr>
        <xdr:cNvSpPr/>
      </xdr:nvSpPr>
      <xdr:spPr>
        <a:xfrm>
          <a:off x="1744980" y="4587240"/>
          <a:ext cx="3238500" cy="2760942"/>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8</xdr:col>
      <xdr:colOff>175260</xdr:colOff>
      <xdr:row>25</xdr:row>
      <xdr:rowOff>22859</xdr:rowOff>
    </xdr:from>
    <xdr:to>
      <xdr:col>13</xdr:col>
      <xdr:colOff>7620</xdr:colOff>
      <xdr:row>40</xdr:row>
      <xdr:rowOff>25134</xdr:rowOff>
    </xdr:to>
    <xdr:sp macro="" textlink="">
      <xdr:nvSpPr>
        <xdr:cNvPr id="21" name="Rectangle: Rounded Corners 20">
          <a:extLst>
            <a:ext uri="{FF2B5EF4-FFF2-40B4-BE49-F238E27FC236}">
              <a16:creationId xmlns:a16="http://schemas.microsoft.com/office/drawing/2014/main" id="{0883AFB1-D609-4199-86D8-82231CA3EBC4}"/>
            </a:ext>
          </a:extLst>
        </xdr:cNvPr>
        <xdr:cNvSpPr/>
      </xdr:nvSpPr>
      <xdr:spPr>
        <a:xfrm>
          <a:off x="5052060" y="4594859"/>
          <a:ext cx="2880360" cy="2745475"/>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13</xdr:col>
      <xdr:colOff>99060</xdr:colOff>
      <xdr:row>24</xdr:row>
      <xdr:rowOff>129541</xdr:rowOff>
    </xdr:from>
    <xdr:to>
      <xdr:col>18</xdr:col>
      <xdr:colOff>205740</xdr:colOff>
      <xdr:row>40</xdr:row>
      <xdr:rowOff>28205</xdr:rowOff>
    </xdr:to>
    <xdr:sp macro="" textlink="">
      <xdr:nvSpPr>
        <xdr:cNvPr id="22" name="Rectangle: Rounded Corners 21">
          <a:extLst>
            <a:ext uri="{FF2B5EF4-FFF2-40B4-BE49-F238E27FC236}">
              <a16:creationId xmlns:a16="http://schemas.microsoft.com/office/drawing/2014/main" id="{DEC60C1A-1B4C-4D63-BD34-D13FE226F3F6}"/>
            </a:ext>
          </a:extLst>
        </xdr:cNvPr>
        <xdr:cNvSpPr/>
      </xdr:nvSpPr>
      <xdr:spPr>
        <a:xfrm>
          <a:off x="8023860" y="4518661"/>
          <a:ext cx="3154680" cy="2824744"/>
        </a:xfrm>
        <a:prstGeom prst="roundRect">
          <a:avLst/>
        </a:prstGeom>
        <a:solidFill>
          <a:srgbClr val="1E315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ar-EG" sz="1400" b="1" baseline="0">
            <a:solidFill>
              <a:srgbClr val="F2F2F2"/>
            </a:solidFill>
          </a:endParaRPr>
        </a:p>
      </xdr:txBody>
    </xdr:sp>
    <xdr:clientData/>
  </xdr:twoCellAnchor>
  <xdr:twoCellAnchor>
    <xdr:from>
      <xdr:col>3</xdr:col>
      <xdr:colOff>358140</xdr:colOff>
      <xdr:row>25</xdr:row>
      <xdr:rowOff>76200</xdr:rowOff>
    </xdr:from>
    <xdr:to>
      <xdr:col>7</xdr:col>
      <xdr:colOff>335280</xdr:colOff>
      <xdr:row>39</xdr:row>
      <xdr:rowOff>160816</xdr:rowOff>
    </xdr:to>
    <xdr:graphicFrame macro="">
      <xdr:nvGraphicFramePr>
        <xdr:cNvPr id="24" name="Chart 23">
          <a:extLst>
            <a:ext uri="{FF2B5EF4-FFF2-40B4-BE49-F238E27FC236}">
              <a16:creationId xmlns:a16="http://schemas.microsoft.com/office/drawing/2014/main" id="{C5485FC6-FF9A-4339-9501-85DD68F55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396240</xdr:colOff>
      <xdr:row>26</xdr:row>
      <xdr:rowOff>76200</xdr:rowOff>
    </xdr:from>
    <xdr:to>
      <xdr:col>12</xdr:col>
      <xdr:colOff>381000</xdr:colOff>
      <xdr:row>39</xdr:row>
      <xdr:rowOff>45720</xdr:rowOff>
    </xdr:to>
    <xdr:graphicFrame macro="">
      <xdr:nvGraphicFramePr>
        <xdr:cNvPr id="26" name="Chart 25">
          <a:extLst>
            <a:ext uri="{FF2B5EF4-FFF2-40B4-BE49-F238E27FC236}">
              <a16:creationId xmlns:a16="http://schemas.microsoft.com/office/drawing/2014/main" id="{53725D69-1F78-4628-B4B0-51B5818F44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502920</xdr:colOff>
      <xdr:row>14</xdr:row>
      <xdr:rowOff>0</xdr:rowOff>
    </xdr:from>
    <xdr:to>
      <xdr:col>10</xdr:col>
      <xdr:colOff>83820</xdr:colOff>
      <xdr:row>23</xdr:row>
      <xdr:rowOff>106680</xdr:rowOff>
    </xdr:to>
    <xdr:graphicFrame macro="">
      <xdr:nvGraphicFramePr>
        <xdr:cNvPr id="27" name="Chart 26">
          <a:extLst>
            <a:ext uri="{FF2B5EF4-FFF2-40B4-BE49-F238E27FC236}">
              <a16:creationId xmlns:a16="http://schemas.microsoft.com/office/drawing/2014/main" id="{E100C3D9-D65C-4C60-A7A8-33668AFE1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601980</xdr:colOff>
      <xdr:row>14</xdr:row>
      <xdr:rowOff>53340</xdr:rowOff>
    </xdr:from>
    <xdr:to>
      <xdr:col>17</xdr:col>
      <xdr:colOff>76200</xdr:colOff>
      <xdr:row>23</xdr:row>
      <xdr:rowOff>137160</xdr:rowOff>
    </xdr:to>
    <xdr:graphicFrame macro="">
      <xdr:nvGraphicFramePr>
        <xdr:cNvPr id="28" name="Chart 27">
          <a:extLst>
            <a:ext uri="{FF2B5EF4-FFF2-40B4-BE49-F238E27FC236}">
              <a16:creationId xmlns:a16="http://schemas.microsoft.com/office/drawing/2014/main" id="{A7C65D91-418D-4083-B096-BD0D7959F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510540</xdr:colOff>
      <xdr:row>25</xdr:row>
      <xdr:rowOff>83821</xdr:rowOff>
    </xdr:from>
    <xdr:to>
      <xdr:col>17</xdr:col>
      <xdr:colOff>586740</xdr:colOff>
      <xdr:row>39</xdr:row>
      <xdr:rowOff>124081</xdr:rowOff>
    </xdr:to>
    <xdr:graphicFrame macro="">
      <xdr:nvGraphicFramePr>
        <xdr:cNvPr id="29" name="Chart 28">
          <a:extLst>
            <a:ext uri="{FF2B5EF4-FFF2-40B4-BE49-F238E27FC236}">
              <a16:creationId xmlns:a16="http://schemas.microsoft.com/office/drawing/2014/main" id="{586D1331-4A6B-4EA2-92C9-485C61753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388620</xdr:colOff>
      <xdr:row>42</xdr:row>
      <xdr:rowOff>68580</xdr:rowOff>
    </xdr:from>
    <xdr:to>
      <xdr:col>9</xdr:col>
      <xdr:colOff>464820</xdr:colOff>
      <xdr:row>57</xdr:row>
      <xdr:rowOff>114300</xdr:rowOff>
    </xdr:to>
    <xdr:graphicFrame macro="">
      <xdr:nvGraphicFramePr>
        <xdr:cNvPr id="30" name="Chart 29">
          <a:extLst>
            <a:ext uri="{FF2B5EF4-FFF2-40B4-BE49-F238E27FC236}">
              <a16:creationId xmlns:a16="http://schemas.microsoft.com/office/drawing/2014/main" id="{F7EE76D9-DC79-4DD0-896E-30E99A5DAA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7620</xdr:colOff>
      <xdr:row>41</xdr:row>
      <xdr:rowOff>137160</xdr:rowOff>
    </xdr:from>
    <xdr:to>
      <xdr:col>17</xdr:col>
      <xdr:colOff>502920</xdr:colOff>
      <xdr:row>58</xdr:row>
      <xdr:rowOff>83820</xdr:rowOff>
    </xdr:to>
    <xdr:graphicFrame macro="">
      <xdr:nvGraphicFramePr>
        <xdr:cNvPr id="32" name="Chart 31">
          <a:extLst>
            <a:ext uri="{FF2B5EF4-FFF2-40B4-BE49-F238E27FC236}">
              <a16:creationId xmlns:a16="http://schemas.microsoft.com/office/drawing/2014/main" id="{960EEEB1-23DC-4A6C-93D2-A937340B4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205740</xdr:colOff>
      <xdr:row>15</xdr:row>
      <xdr:rowOff>76201</xdr:rowOff>
    </xdr:from>
    <xdr:to>
      <xdr:col>2</xdr:col>
      <xdr:colOff>335280</xdr:colOff>
      <xdr:row>20</xdr:row>
      <xdr:rowOff>7620</xdr:rowOff>
    </xdr:to>
    <mc:AlternateContent xmlns:mc="http://schemas.openxmlformats.org/markup-compatibility/2006">
      <mc:Choice xmlns:a14="http://schemas.microsoft.com/office/drawing/2010/main" Requires="a14">
        <xdr:graphicFrame macro="">
          <xdr:nvGraphicFramePr>
            <xdr:cNvPr id="33" name="الحالة1 1">
              <a:extLst>
                <a:ext uri="{FF2B5EF4-FFF2-40B4-BE49-F238E27FC236}">
                  <a16:creationId xmlns:a16="http://schemas.microsoft.com/office/drawing/2014/main" id="{C2866853-15A4-4932-A2D4-4FD9F114BA85}"/>
                </a:ext>
              </a:extLst>
            </xdr:cNvPr>
            <xdr:cNvGraphicFramePr/>
          </xdr:nvGraphicFramePr>
          <xdr:xfrm>
            <a:off x="0" y="0"/>
            <a:ext cx="0" cy="0"/>
          </xdr:xfrm>
          <a:graphic>
            <a:graphicData uri="http://schemas.microsoft.com/office/drawing/2010/slicer">
              <sle:slicer xmlns:sle="http://schemas.microsoft.com/office/drawing/2010/slicer" name="الحالة1 1"/>
            </a:graphicData>
          </a:graphic>
        </xdr:graphicFrame>
      </mc:Choice>
      <mc:Fallback>
        <xdr:sp macro="" textlink="">
          <xdr:nvSpPr>
            <xdr:cNvPr id="0" name=""/>
            <xdr:cNvSpPr>
              <a:spLocks noTextEdit="1"/>
            </xdr:cNvSpPr>
          </xdr:nvSpPr>
          <xdr:spPr>
            <a:xfrm>
              <a:off x="205740" y="2819401"/>
              <a:ext cx="1348740" cy="8458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205740</xdr:colOff>
      <xdr:row>22</xdr:row>
      <xdr:rowOff>76200</xdr:rowOff>
    </xdr:from>
    <xdr:to>
      <xdr:col>2</xdr:col>
      <xdr:colOff>312420</xdr:colOff>
      <xdr:row>28</xdr:row>
      <xdr:rowOff>121920</xdr:rowOff>
    </xdr:to>
    <mc:AlternateContent xmlns:mc="http://schemas.openxmlformats.org/markup-compatibility/2006">
      <mc:Choice xmlns:a14="http://schemas.microsoft.com/office/drawing/2010/main" Requires="a14">
        <xdr:graphicFrame macro="">
          <xdr:nvGraphicFramePr>
            <xdr:cNvPr id="34" name="المدينة 1">
              <a:extLst>
                <a:ext uri="{FF2B5EF4-FFF2-40B4-BE49-F238E27FC236}">
                  <a16:creationId xmlns:a16="http://schemas.microsoft.com/office/drawing/2014/main" id="{BF245CCB-7026-48E9-8676-357075F2640B}"/>
                </a:ext>
              </a:extLst>
            </xdr:cNvPr>
            <xdr:cNvGraphicFramePr/>
          </xdr:nvGraphicFramePr>
          <xdr:xfrm>
            <a:off x="0" y="0"/>
            <a:ext cx="0" cy="0"/>
          </xdr:xfrm>
          <a:graphic>
            <a:graphicData uri="http://schemas.microsoft.com/office/drawing/2010/slicer">
              <sle:slicer xmlns:sle="http://schemas.microsoft.com/office/drawing/2010/slicer" name="المدينة 1"/>
            </a:graphicData>
          </a:graphic>
        </xdr:graphicFrame>
      </mc:Choice>
      <mc:Fallback>
        <xdr:sp macro="" textlink="">
          <xdr:nvSpPr>
            <xdr:cNvPr id="0" name=""/>
            <xdr:cNvSpPr>
              <a:spLocks noTextEdit="1"/>
            </xdr:cNvSpPr>
          </xdr:nvSpPr>
          <xdr:spPr>
            <a:xfrm>
              <a:off x="205740" y="4099560"/>
              <a:ext cx="1325880" cy="1143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182880</xdr:colOff>
      <xdr:row>30</xdr:row>
      <xdr:rowOff>99061</xdr:rowOff>
    </xdr:from>
    <xdr:to>
      <xdr:col>2</xdr:col>
      <xdr:colOff>274320</xdr:colOff>
      <xdr:row>41</xdr:row>
      <xdr:rowOff>22860</xdr:rowOff>
    </xdr:to>
    <mc:AlternateContent xmlns:mc="http://schemas.openxmlformats.org/markup-compatibility/2006">
      <mc:Choice xmlns:a14="http://schemas.microsoft.com/office/drawing/2010/main" Requires="a14">
        <xdr:graphicFrame macro="">
          <xdr:nvGraphicFramePr>
            <xdr:cNvPr id="36" name="Column1 1">
              <a:extLst>
                <a:ext uri="{FF2B5EF4-FFF2-40B4-BE49-F238E27FC236}">
                  <a16:creationId xmlns:a16="http://schemas.microsoft.com/office/drawing/2014/main" id="{E5B527B6-B9CF-4CF9-B981-DDDBDB148844}"/>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182880" y="5585461"/>
              <a:ext cx="1310640" cy="19354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ShaabanHPVictus" refreshedDate="46266.880863078703" createdVersion="8" refreshedVersion="8" minRefreshableVersion="3" recordCount="126" xr:uid="{9F83BBC7-C71E-497C-BEAB-A93E4532CB74}">
  <cacheSource type="worksheet">
    <worksheetSource name="table1"/>
  </cacheSource>
  <cacheFields count="25">
    <cacheField name="أسم العميل" numFmtId="0">
      <sharedItems/>
    </cacheField>
    <cacheField name="Column3" numFmtId="0">
      <sharedItems count="2">
        <s v="أفراد"/>
        <s v="شركات"/>
      </sharedItems>
    </cacheField>
    <cacheField name="العنوان" numFmtId="0">
      <sharedItems containsBlank="1"/>
    </cacheField>
    <cacheField name="المدينة" numFmtId="0">
      <sharedItems count="10">
        <s v="الجيزة (Giza)"/>
        <s v="الإسكندرية (Alexandria)"/>
        <s v="مطروح (Matrouh)"/>
        <s v="البحر الأحمر (Red Sea)"/>
        <e v="#N/A"/>
        <s v="القاهرة (Cairo)"/>
        <s v="القليوبية (Qalyubia)"/>
        <s v="السويس (Suez)"/>
        <s v="أسيوط (Asyut)"/>
        <s v="مستودع / مخزن مركزى (Central Warehouse)"/>
      </sharedItems>
    </cacheField>
    <cacheField name="منصة البيع " numFmtId="0">
      <sharedItems count="14">
        <s v="هومزمارت"/>
        <s v="شيك هومز"/>
        <s v="فيس بوك"/>
        <s v="تاكى"/>
        <s v="اوسكار ريتن"/>
        <s v="السويس"/>
        <s v="منزلى"/>
        <s v="كيمت"/>
        <s v="شيك هومز " u="1"/>
        <s v="تاكى " u="1"/>
        <s v="اوسكار ريتن " u="1"/>
        <s v="كيمت " u="1"/>
        <s v="هومزمارت " u="1"/>
        <s v="منزلى " u="1"/>
      </sharedItems>
    </cacheField>
    <cacheField name="Column1" numFmtId="0">
      <sharedItems count="6">
        <s v="سرير"/>
        <s v="تربيزه"/>
        <s v="كنبة"/>
        <s v="ركنة"/>
        <s v="كرسى"/>
        <s v="شيزلونج"/>
      </sharedItems>
    </cacheField>
    <cacheField name="Column2" numFmtId="0">
      <sharedItems containsBlank="1"/>
    </cacheField>
    <cacheField name="الاسم" numFmtId="0">
      <sharedItems containsBlank="1"/>
    </cacheField>
    <cacheField name="المقاس" numFmtId="0">
      <sharedItems containsBlank="1" containsMixedTypes="1" containsNumber="1" containsInteger="1" minValue="80" maxValue="160"/>
    </cacheField>
    <cacheField name="اللون المعدن" numFmtId="0">
      <sharedItems/>
    </cacheField>
    <cacheField name="لون المعدن2" numFmtId="0">
      <sharedItems count="12">
        <s v="أبيض"/>
        <s v="أسود"/>
        <s v="ازرق"/>
        <s v=""/>
        <s v="رمادى"/>
        <s v="دهبي"/>
        <s v="بنفسجى"/>
        <s v="أسود وبنى"/>
        <s v="ملون"/>
        <s v="بينك"/>
        <s v="نبيتى"/>
        <s v="الوان"/>
      </sharedItems>
    </cacheField>
    <cacheField name="لون القماش" numFmtId="0">
      <sharedItems count="12">
        <s v="أبيض"/>
        <s v="أسود"/>
        <s v=""/>
        <s v="رمادى"/>
        <s v="نبيتى"/>
        <s v="بيج"/>
        <s v="رصاصي مشجر"/>
        <s v="بترولى"/>
        <s v="خشب بنى فاتح"/>
        <s v="أبيض في بنى غامق"/>
        <s v="بنى غامق"/>
        <s v="روك ١٠"/>
      </sharedItems>
    </cacheField>
    <cacheField name="المنتج" numFmtId="0">
      <sharedItems containsBlank="1"/>
    </cacheField>
    <cacheField name="سعر البيع " numFmtId="0">
      <sharedItems containsSemiMixedTypes="0" containsString="0" containsNumber="1" minValue="4020" maxValue="22000"/>
    </cacheField>
    <cacheField name="طريقه الدفع " numFmtId="0">
      <sharedItems containsBlank="1" containsMixedTypes="1" containsNumber="1" minValue="1278.53" maxValue="22000"/>
    </cacheField>
    <cacheField name="ميعاد الطلب" numFmtId="14">
      <sharedItems containsDate="1" containsBlank="1" containsMixedTypes="1" minDate="2024-07-27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عدد أيام التسليم الأصلى" numFmtId="1">
      <sharedItems containsString="0" containsBlank="1" containsNumber="1" containsInteger="1" minValue="0" maxValue="67"/>
    </cacheField>
    <cacheField name="عدد أيام التسليم الفعلى" numFmtId="1">
      <sharedItems containsSemiMixedTypes="0" containsString="0" containsNumber="1" containsInteger="1" minValue="0" maxValue="59"/>
    </cacheField>
    <cacheField name="Column4" numFmtId="1">
      <sharedItems containsMixedTypes="1" containsNumber="1" containsInteger="1" minValue="-20" maxValue="59"/>
    </cacheField>
    <cacheField name="Column5" numFmtId="1">
      <sharedItems count="4">
        <s v="لا يوجد تاريخ"/>
        <s v="تم التسليم قبل الموعد"/>
        <s v="تم التسليم بعد الموعد"/>
        <s v="تم التسليم في الموعد" u="1"/>
      </sharedItems>
    </cacheField>
    <cacheField name="المسئول عن التسليم" numFmtId="0">
      <sharedItems containsBlank="1"/>
    </cacheField>
    <cacheField name="الحالة" numFmtId="0">
      <sharedItems containsBlank="1" count="7">
        <s v="تم التسليم"/>
        <s v="فشل التسليم"/>
        <s v="لاغى"/>
        <s v="مرتجع"/>
        <m/>
        <s v="تم التسليم "/>
        <s v="مرفوض "/>
      </sharedItems>
    </cacheField>
    <cacheField name="الحالة1" numFmtId="0">
      <sharedItems count="6">
        <s v="تم التسليم"/>
        <s v="فشل التسليم"/>
        <s v="لاغى"/>
        <s v="مرتجع"/>
        <s v=""/>
        <s v="مرفوض"/>
      </sharedItems>
    </cacheField>
  </cacheFields>
  <extLst>
    <ext xmlns:x14="http://schemas.microsoft.com/office/spreadsheetml/2009/9/main" uri="{725AE2AE-9491-48be-B2B4-4EB974FC3084}">
      <x14:pivotCacheDefinition pivotCacheId="2339692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s v="خالد عبد القوى"/>
    <x v="0"/>
    <s v="العجوزه - الجيزه"/>
    <x v="0"/>
    <x v="0"/>
    <x v="0"/>
    <s v="منطبق"/>
    <m/>
    <m/>
    <s v="أبيض"/>
    <x v="0"/>
    <x v="0"/>
    <s v="سرير منطبق الحديد ابيض والقماش ابيض "/>
    <n v="10160"/>
    <s v="مسبق الدفع"/>
    <d v="2024-07-27T00:00:00"/>
    <m/>
    <d v="2024-08-10T00:00:00"/>
    <n v="0"/>
    <n v="0"/>
    <s v="0"/>
    <x v="0"/>
    <s v="تم التسليم عن طريق شركه شحن "/>
    <x v="0"/>
    <x v="0"/>
  </r>
  <r>
    <s v="محمود"/>
    <x v="0"/>
    <s v="سموحه - اسكندريه"/>
    <x v="1"/>
    <x v="0"/>
    <x v="0"/>
    <s v="منطبق"/>
    <m/>
    <m/>
    <s v="أسود"/>
    <x v="1"/>
    <x v="1"/>
    <s v="سرير منطبق اسود والقماش اسود "/>
    <n v="10160"/>
    <n v="9749"/>
    <d v="2024-07-28T00:00:00"/>
    <m/>
    <d v="2024-08-11T00:00:00"/>
    <n v="0"/>
    <n v="0"/>
    <s v="0"/>
    <x v="0"/>
    <s v="تم التسليم عن طريق شركه شحن "/>
    <x v="0"/>
    <x v="0"/>
  </r>
  <r>
    <s v="سعيد"/>
    <x v="0"/>
    <s v="سيدى عبد الرحمن - الساحل الشمالى"/>
    <x v="2"/>
    <x v="0"/>
    <x v="0"/>
    <s v="دورين"/>
    <s v="كيفنج"/>
    <n v="90"/>
    <s v="ازرق"/>
    <x v="2"/>
    <x v="2"/>
    <s v="سرير كيفينج مقاس 90 لون ازرق "/>
    <n v="11455"/>
    <n v="10067.68"/>
    <d v="2024-07-27T00:00:00"/>
    <m/>
    <m/>
    <n v="0"/>
    <n v="0"/>
    <s v="0"/>
    <x v="0"/>
    <s v="فشل التسليم "/>
    <x v="1"/>
    <x v="1"/>
  </r>
  <r>
    <s v="ساندرا"/>
    <x v="0"/>
    <s v="الغردقه"/>
    <x v="3"/>
    <x v="0"/>
    <x v="1"/>
    <m/>
    <m/>
    <m/>
    <s v=""/>
    <x v="3"/>
    <x v="2"/>
    <s v="ترابيزه قهوه متحركه "/>
    <n v="8642"/>
    <s v="مسبق الدفع"/>
    <d v="2024-08-25T00:00:00"/>
    <d v="2024-09-07T00:00:00"/>
    <d v="2024-08-27T00:00:00"/>
    <n v="13"/>
    <n v="2"/>
    <n v="11"/>
    <x v="1"/>
    <s v="تم التسليم عن طريق شركه شحن "/>
    <x v="0"/>
    <x v="0"/>
  </r>
  <r>
    <s v="زينا"/>
    <x v="0"/>
    <s v="سيدى عبد الرحمن - الساحل الشمالى"/>
    <x v="2"/>
    <x v="0"/>
    <x v="0"/>
    <s v="دورين"/>
    <s v="نوفال"/>
    <n v="100"/>
    <s v="رمادى"/>
    <x v="4"/>
    <x v="2"/>
    <s v="سرير نوفال متر رمادى "/>
    <n v="12833"/>
    <n v="12974.22"/>
    <d v="2024-08-16T00:00:00"/>
    <d v="2024-08-31T00:00:00"/>
    <m/>
    <n v="15"/>
    <n v="0"/>
    <s v="0"/>
    <x v="0"/>
    <s v="فشل التسليم "/>
    <x v="1"/>
    <x v="1"/>
  </r>
  <r>
    <s v="شيك هومز"/>
    <x v="1"/>
    <m/>
    <x v="4"/>
    <x v="1"/>
    <x v="2"/>
    <s v="4*1"/>
    <m/>
    <m/>
    <s v=""/>
    <x v="3"/>
    <x v="3"/>
    <s v="كنبه سرير رمادى "/>
    <n v="14550"/>
    <s v="مسبق الدفع"/>
    <d v="2024-08-14T00:00:00"/>
    <d v="2024-09-03T00:00:00"/>
    <d v="2024-09-05T00:00:00"/>
    <n v="20"/>
    <n v="22"/>
    <n v="-2"/>
    <x v="2"/>
    <s v="تم التسليم عن طريق شركه شحن "/>
    <x v="0"/>
    <x v="0"/>
  </r>
  <r>
    <s v="احمد"/>
    <x v="0"/>
    <s v="التجمع الخامس"/>
    <x v="5"/>
    <x v="2"/>
    <x v="2"/>
    <s v="4*1"/>
    <m/>
    <m/>
    <s v=""/>
    <x v="3"/>
    <x v="3"/>
    <s v="كنبه سرير رمادى "/>
    <n v="12000"/>
    <n v="12000"/>
    <d v="2024-08-17T00:00:00"/>
    <d v="2024-08-20T00:00:00"/>
    <d v="2024-08-19T00:00:00"/>
    <n v="3"/>
    <n v="2"/>
    <n v="1"/>
    <x v="1"/>
    <s v="تم التسليم عن طريق شركه شحن "/>
    <x v="0"/>
    <x v="0"/>
  </r>
  <r>
    <s v="yilmaz"/>
    <x v="0"/>
    <s v="٦ اكتوبر الجيزه"/>
    <x v="0"/>
    <x v="0"/>
    <x v="0"/>
    <s v="فردى"/>
    <m/>
    <m/>
    <s v="أبيض"/>
    <x v="0"/>
    <x v="2"/>
    <s v="سرير فردى ابيض "/>
    <n v="7228"/>
    <s v="مسبق الدفع"/>
    <d v="2024-08-25T00:00:00"/>
    <d v="2024-09-03T00:00:00"/>
    <d v="2024-09-10T00:00:00"/>
    <n v="9"/>
    <n v="16"/>
    <n v="-7"/>
    <x v="2"/>
    <s v="تم التسليم عن طريق شركه شحن "/>
    <x v="0"/>
    <x v="0"/>
  </r>
  <r>
    <s v="تاكى"/>
    <x v="1"/>
    <s v="العباسيه"/>
    <x v="5"/>
    <x v="3"/>
    <x v="3"/>
    <s v="ركنة بسرير"/>
    <m/>
    <m/>
    <s v=""/>
    <x v="3"/>
    <x v="2"/>
    <s v="ركنه "/>
    <n v="22000"/>
    <n v="22000"/>
    <d v="2024-08-19T00:00:00"/>
    <d v="2024-09-01T00:00:00"/>
    <d v="2024-09-17T00:00:00"/>
    <n v="13"/>
    <n v="29"/>
    <n v="-16"/>
    <x v="2"/>
    <m/>
    <x v="0"/>
    <x v="0"/>
  </r>
  <r>
    <s v="تاكى"/>
    <x v="1"/>
    <s v="العباسيه"/>
    <x v="5"/>
    <x v="3"/>
    <x v="2"/>
    <s v="سحارة"/>
    <m/>
    <m/>
    <s v=""/>
    <x v="3"/>
    <x v="2"/>
    <s v="٢ كنبه سحاره بمخدع"/>
    <n v="16000"/>
    <n v="16000"/>
    <m/>
    <m/>
    <m/>
    <n v="0"/>
    <n v="0"/>
    <s v="0"/>
    <x v="0"/>
    <s v="ملغى "/>
    <x v="2"/>
    <x v="2"/>
  </r>
  <r>
    <s v="تاكى"/>
    <x v="1"/>
    <s v="العباسيه"/>
    <x v="5"/>
    <x v="3"/>
    <x v="2"/>
    <s v="سحارة"/>
    <m/>
    <m/>
    <s v=""/>
    <x v="3"/>
    <x v="2"/>
    <s v="٢ كنبه سحاره بدون مخدع "/>
    <n v="6000"/>
    <n v="12000"/>
    <d v="2024-08-25T00:00:00"/>
    <d v="2024-09-15T00:00:00"/>
    <d v="2024-09-17T00:00:00"/>
    <n v="21"/>
    <n v="23"/>
    <n v="-2"/>
    <x v="2"/>
    <s v="تم التسليم محمود على "/>
    <x v="0"/>
    <x v="0"/>
  </r>
  <r>
    <s v="تاكى"/>
    <x v="1"/>
    <s v="العباسيه"/>
    <x v="5"/>
    <x v="3"/>
    <x v="2"/>
    <s v="سحارة"/>
    <m/>
    <m/>
    <s v=""/>
    <x v="3"/>
    <x v="2"/>
    <s v="٢ كنبه سحاره بدون مخدع "/>
    <n v="6000"/>
    <n v="12000"/>
    <d v="2024-08-25T00:00:00"/>
    <d v="2024-09-15T00:00:00"/>
    <d v="2024-09-17T00:00:00"/>
    <n v="21"/>
    <n v="23"/>
    <n v="-2"/>
    <x v="2"/>
    <s v="تم التسليم محمود على "/>
    <x v="0"/>
    <x v="0"/>
  </r>
  <r>
    <s v="على رشوان"/>
    <x v="0"/>
    <s v="مصر الجديده"/>
    <x v="5"/>
    <x v="0"/>
    <x v="0"/>
    <s v="دورين"/>
    <s v="نوفال"/>
    <n v="80"/>
    <s v="أبيض"/>
    <x v="0"/>
    <x v="2"/>
    <s v="سرير نوفال ابيض مقاس ٨٠"/>
    <n v="10499"/>
    <n v="8924"/>
    <d v="2024-09-01T00:00:00"/>
    <d v="2024-09-16T00:00:00"/>
    <d v="2024-09-08T00:00:00"/>
    <n v="15"/>
    <n v="7"/>
    <n v="8"/>
    <x v="1"/>
    <s v="تم التسليم عن طريق شركه شحن "/>
    <x v="0"/>
    <x v="0"/>
  </r>
  <r>
    <s v="احمد فخرى"/>
    <x v="0"/>
    <s v="٦ اكتوبر الجيزه"/>
    <x v="0"/>
    <x v="0"/>
    <x v="0"/>
    <s v="فردى"/>
    <s v="نوفال"/>
    <n v="80"/>
    <s v="أبيض"/>
    <x v="0"/>
    <x v="2"/>
    <s v="سرير فردى خشب موسكى الحديد ابيض مقاس ٨٠"/>
    <n v="7295"/>
    <n v="5895"/>
    <d v="2024-09-05T00:00:00"/>
    <d v="2024-09-14T00:00:00"/>
    <m/>
    <n v="9"/>
    <n v="0"/>
    <s v="0"/>
    <x v="0"/>
    <m/>
    <x v="2"/>
    <x v="2"/>
  </r>
  <r>
    <s v="لينا"/>
    <x v="0"/>
    <s v="المقطم"/>
    <x v="5"/>
    <x v="0"/>
    <x v="1"/>
    <s v="2 ميكانزم"/>
    <m/>
    <m/>
    <s v=""/>
    <x v="3"/>
    <x v="2"/>
    <s v="ترابيزه قهوه علويه جديده "/>
    <n v="7849"/>
    <s v="مسبق الدفع"/>
    <d v="2024-09-04T00:00:00"/>
    <d v="2024-09-16T00:00:00"/>
    <d v="2024-09-25T00:00:00"/>
    <n v="12"/>
    <n v="21"/>
    <n v="-9"/>
    <x v="2"/>
    <s v="تم التسليم عن طريق شركه شحن "/>
    <x v="3"/>
    <x v="3"/>
  </r>
  <r>
    <s v="فيصل نعيم"/>
    <x v="0"/>
    <s v="التجمع الخامس"/>
    <x v="5"/>
    <x v="4"/>
    <x v="0"/>
    <s v="دورين"/>
    <s v="كيفنج"/>
    <n v="120"/>
    <s v="أسود"/>
    <x v="1"/>
    <x v="2"/>
    <s v="٢ سرير كيفنج ١٢٠ اسود "/>
    <n v="6180"/>
    <n v="9700"/>
    <d v="2024-09-03T00:00:00"/>
    <d v="2024-09-16T00:00:00"/>
    <d v="2024-09-15T00:00:00"/>
    <n v="13"/>
    <n v="12"/>
    <n v="1"/>
    <x v="1"/>
    <s v="تم التسليم محمود على "/>
    <x v="0"/>
    <x v="0"/>
  </r>
  <r>
    <s v="فيصل نعيم"/>
    <x v="0"/>
    <s v="التجمع الخامس"/>
    <x v="5"/>
    <x v="4"/>
    <x v="0"/>
    <s v="دورين"/>
    <s v="كيفنج"/>
    <n v="120"/>
    <s v="أسود"/>
    <x v="1"/>
    <x v="2"/>
    <s v="٢ سرير كيفنج ١٢٠ اسود "/>
    <n v="6180"/>
    <n v="9700"/>
    <d v="2024-09-03T00:00:00"/>
    <d v="2024-09-16T00:00:00"/>
    <d v="2024-09-15T00:00:00"/>
    <n v="13"/>
    <n v="12"/>
    <n v="1"/>
    <x v="1"/>
    <s v="تم التسليم محمود على "/>
    <x v="0"/>
    <x v="0"/>
  </r>
  <r>
    <s v="ellho elkafy"/>
    <x v="0"/>
    <s v="مدينه نصر"/>
    <x v="5"/>
    <x v="0"/>
    <x v="0"/>
    <s v="دورين"/>
    <s v="كينج"/>
    <n v="80"/>
    <s v="أبيض"/>
    <x v="0"/>
    <x v="2"/>
    <s v="سرير كينج ابيض مقاس ٨٠ التصميم الجديد "/>
    <n v="11199"/>
    <n v="11310"/>
    <d v="2024-09-04T00:00:00"/>
    <d v="2024-09-18T00:00:00"/>
    <m/>
    <n v="14"/>
    <n v="0"/>
    <s v="0"/>
    <x v="0"/>
    <m/>
    <x v="2"/>
    <x v="2"/>
  </r>
  <r>
    <s v="احمد"/>
    <x v="0"/>
    <s v="القاهره الجديده"/>
    <x v="5"/>
    <x v="0"/>
    <x v="0"/>
    <s v="فردى"/>
    <s v="فورجينا"/>
    <n v="80"/>
    <s v="أبيض"/>
    <x v="0"/>
    <x v="2"/>
    <s v="٤سرير فردى خشب موسكى الحديد ابيض مقاس ٨٠"/>
    <n v="7987"/>
    <s v="مسبق الدفع"/>
    <d v="2024-09-06T00:00:00"/>
    <d v="2024-09-16T00:00:00"/>
    <d v="2024-09-21T00:00:00"/>
    <n v="10"/>
    <n v="15"/>
    <n v="-5"/>
    <x v="2"/>
    <s v="تم التسليم محمود على "/>
    <x v="0"/>
    <x v="0"/>
  </r>
  <r>
    <s v="تاكى"/>
    <x v="1"/>
    <s v="العباسيه"/>
    <x v="5"/>
    <x v="3"/>
    <x v="4"/>
    <s v="فنسيا"/>
    <m/>
    <m/>
    <s v=""/>
    <x v="3"/>
    <x v="2"/>
    <s v="٢ فوتيه فنيسيا "/>
    <n v="9300"/>
    <n v="9300"/>
    <d v="2024-09-04T00:00:00"/>
    <d v="2024-09-15T00:00:00"/>
    <d v="2024-09-17T00:00:00"/>
    <n v="11"/>
    <n v="13"/>
    <n v="-2"/>
    <x v="2"/>
    <s v="تم التسليم محمود على "/>
    <x v="0"/>
    <x v="0"/>
  </r>
  <r>
    <s v="احمد"/>
    <x v="0"/>
    <s v="القاهره الجديده"/>
    <x v="5"/>
    <x v="0"/>
    <x v="0"/>
    <s v="فردى"/>
    <s v="فورجينا"/>
    <n v="80"/>
    <s v="أبيض"/>
    <x v="0"/>
    <x v="2"/>
    <s v="٤سرير فردى خشب موسكى الحديد ابيض مقاس ٨٠"/>
    <n v="7987"/>
    <s v="مسبق الدفع"/>
    <d v="2024-09-06T00:00:00"/>
    <d v="2024-09-16T00:00:00"/>
    <d v="2024-09-21T00:00:00"/>
    <n v="10"/>
    <n v="15"/>
    <n v="-5"/>
    <x v="2"/>
    <s v="تم التسليم محمود على "/>
    <x v="0"/>
    <x v="0"/>
  </r>
  <r>
    <s v="احمد"/>
    <x v="0"/>
    <s v="القاهره الجديده"/>
    <x v="5"/>
    <x v="0"/>
    <x v="0"/>
    <s v="فردى"/>
    <s v="فورجينا"/>
    <n v="80"/>
    <s v="أبيض"/>
    <x v="0"/>
    <x v="2"/>
    <s v="٤سرير فردى خشب موسكى الحديد ابيض مقاس ٨٠"/>
    <n v="7987"/>
    <s v="مسبق الدفع"/>
    <d v="2024-09-06T00:00:00"/>
    <d v="2024-09-16T00:00:00"/>
    <d v="2024-09-21T00:00:00"/>
    <n v="10"/>
    <n v="15"/>
    <n v="-5"/>
    <x v="2"/>
    <s v="تم التسليم محمود على "/>
    <x v="0"/>
    <x v="0"/>
  </r>
  <r>
    <s v="احمد"/>
    <x v="0"/>
    <s v="القاهره الجديده"/>
    <x v="5"/>
    <x v="0"/>
    <x v="0"/>
    <s v="فردى"/>
    <s v="فورجينا"/>
    <n v="80"/>
    <s v="أبيض"/>
    <x v="0"/>
    <x v="2"/>
    <s v="٤سرير فردى خشب موسكى الحديد ابيض مقاس ٨٠"/>
    <n v="7987"/>
    <s v="مسبق الدفع"/>
    <d v="2024-09-06T00:00:00"/>
    <d v="2024-09-16T00:00:00"/>
    <d v="2024-09-21T00:00:00"/>
    <n v="10"/>
    <n v="15"/>
    <n v="-5"/>
    <x v="2"/>
    <s v="تم التسليم محمود على "/>
    <x v="0"/>
    <x v="0"/>
  </r>
  <r>
    <s v="صفاء"/>
    <x v="0"/>
    <s v="المعادى"/>
    <x v="5"/>
    <x v="0"/>
    <x v="1"/>
    <s v="2 ميكانزم"/>
    <m/>
    <m/>
    <s v=""/>
    <x v="3"/>
    <x v="2"/>
    <s v="ترابيزه قهوه علويه جديده "/>
    <n v="8849"/>
    <s v="مسبق الدفع"/>
    <d v="2024-09-03T00:00:00"/>
    <d v="2024-10-16T00:00:00"/>
    <m/>
    <n v="43"/>
    <n v="0"/>
    <s v="0"/>
    <x v="0"/>
    <m/>
    <x v="2"/>
    <x v="2"/>
  </r>
  <r>
    <s v="حسن حازم"/>
    <x v="0"/>
    <s v="٦ اكتوبر الجيزه"/>
    <x v="0"/>
    <x v="0"/>
    <x v="0"/>
    <s v="فردى"/>
    <s v="اسبانى"/>
    <n v="120"/>
    <s v="أبيض"/>
    <x v="0"/>
    <x v="2"/>
    <s v="سرير اسبانى ابيض ١٢٠"/>
    <n v="10987"/>
    <s v="مسبق الدفع"/>
    <d v="2024-09-09T00:00:00"/>
    <d v="2024-09-17T00:00:00"/>
    <d v="2024-09-21T00:00:00"/>
    <n v="8"/>
    <n v="12"/>
    <n v="-4"/>
    <x v="2"/>
    <s v="تم التسليم محمود على "/>
    <x v="0"/>
    <x v="0"/>
  </r>
  <r>
    <s v="شيك هومز"/>
    <x v="1"/>
    <m/>
    <x v="4"/>
    <x v="1"/>
    <x v="0"/>
    <s v="دورين"/>
    <s v="كينج"/>
    <n v="100"/>
    <s v="أبيض"/>
    <x v="0"/>
    <x v="2"/>
    <s v="سرير كينج ابيض "/>
    <n v="9208"/>
    <n v="5781.75"/>
    <d v="2024-09-01T00:00:00"/>
    <d v="2024-09-19T00:00:00"/>
    <d v="2024-09-21T00:00:00"/>
    <n v="18"/>
    <n v="20"/>
    <n v="-2"/>
    <x v="2"/>
    <s v="تم التسليم محمود على "/>
    <x v="0"/>
    <x v="0"/>
  </r>
  <r>
    <s v="شيك هومز"/>
    <x v="1"/>
    <m/>
    <x v="4"/>
    <x v="1"/>
    <x v="0"/>
    <s v="دورين"/>
    <s v="كينج"/>
    <n v="100"/>
    <s v="أسود"/>
    <x v="1"/>
    <x v="2"/>
    <s v="سرير كينج اسود "/>
    <n v="9208"/>
    <n v="1278.53"/>
    <d v="2024-09-01T00:00:00"/>
    <d v="2024-09-19T00:00:00"/>
    <d v="2024-09-21T00:00:00"/>
    <n v="18"/>
    <n v="20"/>
    <n v="-2"/>
    <x v="2"/>
    <s v="تم التسليم محمود على "/>
    <x v="0"/>
    <x v="0"/>
  </r>
  <r>
    <s v="اوسكار راتن"/>
    <x v="1"/>
    <s v="مخزن اوسكار في القناطر"/>
    <x v="6"/>
    <x v="4"/>
    <x v="0"/>
    <s v="فردى"/>
    <s v="فورجينا"/>
    <n v="120"/>
    <s v="أبيض"/>
    <x v="0"/>
    <x v="2"/>
    <s v="٢ سريرفورجينا خشب موسكى ابيض مقاس ١٢٠"/>
    <n v="4020"/>
    <s v="حساب شركه"/>
    <d v="2024-09-12T00:00:00"/>
    <d v="2024-09-21T00:00:00"/>
    <d v="2024-09-22T00:00:00"/>
    <n v="9"/>
    <n v="10"/>
    <n v="-1"/>
    <x v="2"/>
    <s v="تم التسليم محمود على "/>
    <x v="0"/>
    <x v="0"/>
  </r>
  <r>
    <s v="اوسكار راتن"/>
    <x v="1"/>
    <s v="مخزن اوسكار في القناطر"/>
    <x v="6"/>
    <x v="4"/>
    <x v="0"/>
    <s v="فردى"/>
    <s v="فورجينا"/>
    <n v="120"/>
    <s v="أبيض"/>
    <x v="0"/>
    <x v="2"/>
    <s v="٢ سريرفورجينا خشب موسكى ابيض مقاس ١٢٠"/>
    <n v="4020"/>
    <s v="حساب شركه"/>
    <d v="2024-09-12T00:00:00"/>
    <d v="2024-09-21T00:00:00"/>
    <d v="2024-09-22T00:00:00"/>
    <n v="9"/>
    <n v="10"/>
    <n v="-1"/>
    <x v="2"/>
    <s v="تم التسليم محمود على "/>
    <x v="0"/>
    <x v="0"/>
  </r>
  <r>
    <s v="اوسكار راتن"/>
    <x v="1"/>
    <s v="مخزن اوسكار في القناطر"/>
    <x v="6"/>
    <x v="4"/>
    <x v="0"/>
    <s v="فردى"/>
    <s v="ارفيل"/>
    <n v="120"/>
    <s v="أسود"/>
    <x v="1"/>
    <x v="2"/>
    <s v="٢ سرير ارفيل ١٢٠ اسود "/>
    <n v="4020"/>
    <s v="مسبق الدفع "/>
    <d v="2024-09-12T00:00:00"/>
    <d v="2024-09-21T00:00:00"/>
    <d v="2024-09-22T00:00:00"/>
    <n v="9"/>
    <n v="10"/>
    <n v="-1"/>
    <x v="2"/>
    <s v="تم التسليم محمود على "/>
    <x v="0"/>
    <x v="0"/>
  </r>
  <r>
    <s v="اوسكار راتن"/>
    <x v="1"/>
    <s v="مخزن اوسكار في القناطر"/>
    <x v="6"/>
    <x v="4"/>
    <x v="0"/>
    <s v="فردى"/>
    <s v="ارفيل"/>
    <n v="120"/>
    <s v="أسود"/>
    <x v="1"/>
    <x v="2"/>
    <s v="٢ سرير ارفيل ١٢٠ اسود "/>
    <n v="4020"/>
    <s v="مسبق الدفع "/>
    <d v="2024-09-12T00:00:00"/>
    <d v="2024-09-21T00:00:00"/>
    <d v="2024-09-22T00:00:00"/>
    <n v="9"/>
    <n v="10"/>
    <n v="-1"/>
    <x v="2"/>
    <s v="تم التسليم محمود على "/>
    <x v="0"/>
    <x v="0"/>
  </r>
  <r>
    <s v="صفاء الحكيم"/>
    <x v="0"/>
    <s v="العين السخنه"/>
    <x v="7"/>
    <x v="0"/>
    <x v="0"/>
    <s v="منطبق"/>
    <m/>
    <m/>
    <s v="أسود"/>
    <x v="1"/>
    <x v="1"/>
    <s v="سرير منطببق اسود وقماش اسود"/>
    <n v="9399"/>
    <s v="مسبق الدفع "/>
    <s v="14/9/2024"/>
    <d v="2024-09-22T00:00:00"/>
    <m/>
    <m/>
    <n v="0"/>
    <s v="0"/>
    <x v="0"/>
    <s v="فشل التسليم "/>
    <x v="1"/>
    <x v="1"/>
  </r>
  <r>
    <s v="يوسف شناوى"/>
    <x v="0"/>
    <s v="الابراهيميه . الإسكندرية"/>
    <x v="1"/>
    <x v="0"/>
    <x v="1"/>
    <s v="رف سحاب"/>
    <m/>
    <m/>
    <s v=""/>
    <x v="3"/>
    <x v="2"/>
    <s v="ترابيزه قهوه علويه برف سحاب "/>
    <n v="8349"/>
    <s v="مسبق الدفع "/>
    <d v="2024-09-14T00:00:00"/>
    <d v="2024-09-22T00:00:00"/>
    <d v="2024-09-24T00:00:00"/>
    <n v="8"/>
    <n v="10"/>
    <n v="-2"/>
    <x v="2"/>
    <s v="تم التسليم عن طريق شركه شحن "/>
    <x v="0"/>
    <x v="0"/>
  </r>
  <r>
    <s v="حاتم العيسوي"/>
    <x v="0"/>
    <s v="٦ اكتوبر الجيزه"/>
    <x v="0"/>
    <x v="0"/>
    <x v="0"/>
    <s v="منطبق"/>
    <m/>
    <m/>
    <s v="أسود"/>
    <x v="1"/>
    <x v="1"/>
    <s v="سرير منطبق اسود حديد وقماش"/>
    <n v="9399"/>
    <s v="مسبق الدفع"/>
    <d v="2024-09-13T00:00:00"/>
    <d v="2024-09-24T00:00:00"/>
    <d v="2024-09-30T00:00:00"/>
    <n v="11"/>
    <n v="17"/>
    <n v="-6"/>
    <x v="2"/>
    <s v="تم التسليم عن طريق شركه شحن "/>
    <x v="0"/>
    <x v="0"/>
  </r>
  <r>
    <s v="رنا"/>
    <x v="0"/>
    <s v="القطاميه"/>
    <x v="5"/>
    <x v="0"/>
    <x v="1"/>
    <s v="2 ميكانزم"/>
    <m/>
    <m/>
    <s v=""/>
    <x v="3"/>
    <x v="2"/>
    <s v="ترابيزه قهوه علويه جديده "/>
    <n v="7849"/>
    <n v="7928"/>
    <d v="2024-09-12T00:00:00"/>
    <d v="2024-09-26T00:00:00"/>
    <m/>
    <n v="14"/>
    <n v="0"/>
    <s v="0"/>
    <x v="0"/>
    <s v="تم التسليم عن طريق شركه شحن "/>
    <x v="0"/>
    <x v="0"/>
  </r>
  <r>
    <s v="عبير نور الدين"/>
    <x v="0"/>
    <s v="١٨ شارع البحيري بولاق الدكرور الجيزه"/>
    <x v="0"/>
    <x v="2"/>
    <x v="0"/>
    <s v="ثلاثه ادوار"/>
    <s v="كيفنج"/>
    <n v="100"/>
    <s v="أسود"/>
    <x v="1"/>
    <x v="2"/>
    <s v="سرير ٣ ادورا اسود مقاس ١٠٠ "/>
    <n v="9450"/>
    <n v="9450"/>
    <d v="2024-09-12T00:00:00"/>
    <d v="2024-09-26T00:00:00"/>
    <m/>
    <n v="14"/>
    <n v="0"/>
    <s v="0"/>
    <x v="0"/>
    <m/>
    <x v="2"/>
    <x v="2"/>
  </r>
  <r>
    <s v="اسراء ابو العنين"/>
    <x v="0"/>
    <s v="القاهره الجديده"/>
    <x v="5"/>
    <x v="0"/>
    <x v="0"/>
    <s v="فردى"/>
    <s v="اسبانى"/>
    <n v="120"/>
    <s v="أسود"/>
    <x v="1"/>
    <x v="2"/>
    <s v="سرير اسبانى اسود مقاس ١٢٠"/>
    <n v="7460"/>
    <s v="مسبق الدفع"/>
    <d v="2024-09-13T00:00:00"/>
    <d v="2024-09-26T00:00:00"/>
    <d v="2024-10-03T00:00:00"/>
    <n v="13"/>
    <n v="20"/>
    <n v="-7"/>
    <x v="2"/>
    <s v="تم التسليم محمود على "/>
    <x v="0"/>
    <x v="0"/>
  </r>
  <r>
    <s v="وائل صادق"/>
    <x v="0"/>
    <s v="القاهره الجديده"/>
    <x v="5"/>
    <x v="0"/>
    <x v="0"/>
    <s v="فردى"/>
    <s v="كورين"/>
    <n v="140"/>
    <s v="دهبي"/>
    <x v="5"/>
    <x v="3"/>
    <s v="سرير كوين مقاس ١٤٠ دهبي ورمادى "/>
    <n v="9528"/>
    <s v="مسبق الدفع"/>
    <d v="2024-09-13T00:00:00"/>
    <d v="2024-09-26T00:00:00"/>
    <d v="2024-10-03T00:00:00"/>
    <n v="13"/>
    <n v="20"/>
    <n v="-7"/>
    <x v="2"/>
    <s v="تم التسليم محمود على "/>
    <x v="0"/>
    <x v="0"/>
  </r>
  <r>
    <s v="حسن مغرب"/>
    <x v="0"/>
    <s v="٦ اكتوبر الجيزه"/>
    <x v="0"/>
    <x v="0"/>
    <x v="0"/>
    <s v="دورين"/>
    <s v="كيفنج"/>
    <n v="120"/>
    <s v="رمادى"/>
    <x v="4"/>
    <x v="2"/>
    <s v="سرير كيفنج ١٢٠ رمادى "/>
    <n v="12999"/>
    <s v="مسبق الدفع"/>
    <d v="2024-09-14T00:00:00"/>
    <d v="2024-09-27T00:00:00"/>
    <d v="2024-10-02T00:00:00"/>
    <n v="13"/>
    <n v="18"/>
    <n v="-5"/>
    <x v="2"/>
    <s v="تم التسليم محمود على "/>
    <x v="0"/>
    <x v="0"/>
  </r>
  <r>
    <s v="على السيد"/>
    <x v="0"/>
    <s v="الشروق القاهره"/>
    <x v="5"/>
    <x v="0"/>
    <x v="0"/>
    <s v="دورين"/>
    <s v="نوفال"/>
    <n v="90"/>
    <s v="أسود"/>
    <x v="1"/>
    <x v="2"/>
    <s v="سرير نوفال  ٩٠ اسود "/>
    <n v="5999"/>
    <s v="مسبق الدفع"/>
    <d v="2024-09-12T00:00:00"/>
    <d v="2024-09-29T00:00:00"/>
    <m/>
    <n v="17"/>
    <n v="0"/>
    <s v="0"/>
    <x v="0"/>
    <m/>
    <x v="4"/>
    <x v="4"/>
  </r>
  <r>
    <s v="هشام بسيونى"/>
    <x v="0"/>
    <s v="حدايق الاهرام"/>
    <x v="0"/>
    <x v="0"/>
    <x v="0"/>
    <s v="دورين"/>
    <s v="كيفنج"/>
    <n v="100"/>
    <s v="أسود"/>
    <x v="1"/>
    <x v="2"/>
    <s v="            ٢ سرير كيفنج ١٠٠ اسود "/>
    <n v="11949"/>
    <n v="10749"/>
    <d v="2024-09-12T00:00:00"/>
    <d v="2024-09-29T00:00:00"/>
    <d v="2024-10-02T00:00:00"/>
    <n v="17"/>
    <n v="20"/>
    <n v="-3"/>
    <x v="2"/>
    <s v="تم التسليم محمود على "/>
    <x v="0"/>
    <x v="0"/>
  </r>
  <r>
    <s v="هشام بسيونى"/>
    <x v="0"/>
    <s v="حدايق الاهرام"/>
    <x v="0"/>
    <x v="0"/>
    <x v="0"/>
    <s v="دورين"/>
    <s v="كيفنج"/>
    <n v="100"/>
    <s v="أسود"/>
    <x v="1"/>
    <x v="2"/>
    <s v="            ٢ سرير كيفنج ١٠٠ اسود "/>
    <n v="11949"/>
    <n v="10749"/>
    <d v="2024-09-12T00:00:00"/>
    <d v="2024-09-29T00:00:00"/>
    <d v="2024-10-02T00:00:00"/>
    <n v="17"/>
    <n v="20"/>
    <n v="-3"/>
    <x v="2"/>
    <s v="تم التسليم محمود على "/>
    <x v="0"/>
    <x v="0"/>
  </r>
  <r>
    <s v="احمد"/>
    <x v="0"/>
    <s v="الشروق"/>
    <x v="5"/>
    <x v="0"/>
    <x v="0"/>
    <s v="ثلاثه ادوار"/>
    <s v="كيفنج"/>
    <n v="80"/>
    <s v="أبيض"/>
    <x v="0"/>
    <x v="2"/>
    <s v="سرير ٣ ادوار ابيض مقاس ٨٠ ابيض "/>
    <n v="16599"/>
    <s v="مسبق الدفع"/>
    <d v="2024-09-13T00:00:00"/>
    <d v="2024-09-30T00:00:00"/>
    <d v="2024-10-03T00:00:00"/>
    <n v="17"/>
    <n v="20"/>
    <n v="-3"/>
    <x v="2"/>
    <s v="تم التسليم محمود على "/>
    <x v="0"/>
    <x v="0"/>
  </r>
  <r>
    <s v="ساره وجيه"/>
    <x v="0"/>
    <s v="الغردقه"/>
    <x v="3"/>
    <x v="0"/>
    <x v="0"/>
    <s v="دورين"/>
    <s v="كيفنج"/>
    <n v="80"/>
    <s v="أبيض"/>
    <x v="0"/>
    <x v="2"/>
    <s v="سرير كيفنج دورين مقاس ٨٠ ابيض "/>
    <n v="10999"/>
    <s v="مسبق الدفع"/>
    <d v="2024-09-13T00:00:00"/>
    <d v="2024-09-30T00:00:00"/>
    <d v="2024-10-16T00:00:00"/>
    <n v="17"/>
    <n v="33"/>
    <n v="-16"/>
    <x v="2"/>
    <s v="تم التسليم عن طريق شركه شحن "/>
    <x v="0"/>
    <x v="0"/>
  </r>
  <r>
    <s v="مها"/>
    <x v="0"/>
    <s v="لافيستا العين السخنه"/>
    <x v="7"/>
    <x v="0"/>
    <x v="0"/>
    <s v="دورين"/>
    <s v="كيفنج"/>
    <n v="140"/>
    <s v="ازرق"/>
    <x v="2"/>
    <x v="2"/>
    <s v="سرير استيل ازرق مقاس ١٤٠"/>
    <n v="13099"/>
    <s v="مسبق الدفع"/>
    <d v="2024-09-13T00:00:00"/>
    <d v="2024-09-30T00:00:00"/>
    <d v="2024-10-03T00:00:00"/>
    <n v="17"/>
    <n v="20"/>
    <n v="-3"/>
    <x v="2"/>
    <s v="تم التسليم عن طريق شركه شحن "/>
    <x v="0"/>
    <x v="0"/>
  </r>
  <r>
    <s v="بسام الشربينى"/>
    <x v="0"/>
    <s v="٦ اكتوبر الجيزه"/>
    <x v="0"/>
    <x v="0"/>
    <x v="0"/>
    <s v="دورين"/>
    <s v="كينج"/>
    <n v="120"/>
    <s v="بنفسجى"/>
    <x v="6"/>
    <x v="2"/>
    <s v="سرير كينج ١٢٠ بنفسجى "/>
    <n v="13849"/>
    <s v="مسبق الدفع"/>
    <d v="2024-09-13T00:00:00"/>
    <d v="2024-09-30T00:00:00"/>
    <d v="2024-10-20T00:00:00"/>
    <n v="17"/>
    <n v="37"/>
    <n v="-20"/>
    <x v="2"/>
    <s v="تم التسليم محمود على "/>
    <x v="0"/>
    <x v="0"/>
  </r>
  <r>
    <s v="هبه عبد الفتاح"/>
    <x v="0"/>
    <s v="القاهره الجديده"/>
    <x v="5"/>
    <x v="0"/>
    <x v="2"/>
    <s v="4*1"/>
    <m/>
    <m/>
    <s v="أسود"/>
    <x v="1"/>
    <x v="3"/>
    <s v="كنبه سرير ٤ حركه "/>
    <n v="21999"/>
    <s v="مسبق الدفع"/>
    <d v="2024-09-13T00:00:00"/>
    <d v="2024-09-30T00:00:00"/>
    <m/>
    <n v="17"/>
    <n v="0"/>
    <s v="0"/>
    <x v="0"/>
    <s v="تم التسليم محمود على "/>
    <x v="0"/>
    <x v="0"/>
  </r>
  <r>
    <s v="اسراء ابراهيم"/>
    <x v="0"/>
    <s v="٦ اكتوبر الجيزه"/>
    <x v="0"/>
    <x v="0"/>
    <x v="0"/>
    <s v="دورين"/>
    <s v="كيفنج"/>
    <n v="80"/>
    <s v="أبيض"/>
    <x v="0"/>
    <x v="2"/>
    <s v="سرير كيفنج دورين مقاس ٨٠ ابيض "/>
    <n v="10999"/>
    <s v="مسبق الدفع"/>
    <d v="2024-09-13T00:00:00"/>
    <d v="2024-09-30T00:00:00"/>
    <d v="2024-10-15T00:00:00"/>
    <n v="17"/>
    <n v="32"/>
    <n v="-15"/>
    <x v="2"/>
    <s v="تم التسليم محمود على "/>
    <x v="0"/>
    <x v="0"/>
  </r>
  <r>
    <s v="طارق كمال"/>
    <x v="0"/>
    <s v="المعادى"/>
    <x v="5"/>
    <x v="0"/>
    <x v="0"/>
    <s v="ثلاثه ادوار"/>
    <s v="كيفنج"/>
    <n v="90"/>
    <s v="أسود"/>
    <x v="1"/>
    <x v="2"/>
    <s v="سرير ٣ ادوار اسود مقاس ٩٠ "/>
    <n v="17249"/>
    <s v="مسبق الدفع"/>
    <d v="2024-09-13T00:00:00"/>
    <d v="2024-09-30T00:00:00"/>
    <d v="2024-10-04T00:00:00"/>
    <n v="17"/>
    <n v="21"/>
    <n v="-4"/>
    <x v="2"/>
    <s v="تم التسليم محمود على "/>
    <x v="0"/>
    <x v="0"/>
  </r>
  <r>
    <s v="ديفد بهجت"/>
    <x v="0"/>
    <s v="فيصل الجيزه"/>
    <x v="0"/>
    <x v="0"/>
    <x v="1"/>
    <s v="2 ميكانزم"/>
    <m/>
    <m/>
    <s v=""/>
    <x v="3"/>
    <x v="2"/>
    <s v="تربيزه قهوه ٢ رافع"/>
    <n v="8349"/>
    <s v="مسبق الدفع"/>
    <d v="2024-09-14T00:00:00"/>
    <d v="2024-10-16T00:00:00"/>
    <d v="2024-10-21T00:00:00"/>
    <n v="32"/>
    <n v="37"/>
    <n v="-5"/>
    <x v="2"/>
    <s v="تم التسليم محمود على "/>
    <x v="0"/>
    <x v="0"/>
  </r>
  <r>
    <s v="اياد"/>
    <x v="0"/>
    <s v="المقطم"/>
    <x v="5"/>
    <x v="0"/>
    <x v="1"/>
    <s v="بمكتبة"/>
    <m/>
    <m/>
    <s v=""/>
    <x v="3"/>
    <x v="2"/>
    <s v="ترابيزه قهوه متحركه "/>
    <n v="7849"/>
    <s v="مسبق الدفع"/>
    <d v="2024-09-14T00:00:00"/>
    <d v="2024-10-29T00:00:00"/>
    <d v="2024-10-30T00:00:00"/>
    <n v="45"/>
    <n v="46"/>
    <n v="-1"/>
    <x v="2"/>
    <s v="تم التسليم محمود على "/>
    <x v="0"/>
    <x v="0"/>
  </r>
  <r>
    <s v="ميار خورشد"/>
    <x v="0"/>
    <s v="٦ اكتوبر الجيزه"/>
    <x v="0"/>
    <x v="0"/>
    <x v="0"/>
    <s v="منطبق"/>
    <m/>
    <m/>
    <s v="أسود"/>
    <x v="1"/>
    <x v="1"/>
    <s v="سرير منطبق اسود حديد ومعدن "/>
    <n v="9399"/>
    <s v="مسبق الدفع "/>
    <d v="2024-09-14T00:00:00"/>
    <d v="2024-10-29T00:00:00"/>
    <d v="2024-10-15T00:00:00"/>
    <n v="45"/>
    <n v="31"/>
    <n v="14"/>
    <x v="1"/>
    <s v="تم التسليم محمود على "/>
    <x v="0"/>
    <x v="0"/>
  </r>
  <r>
    <s v="عبد الله سيد"/>
    <x v="0"/>
    <s v="الشيخ زايد ٦ اكتوبر"/>
    <x v="0"/>
    <x v="0"/>
    <x v="0"/>
    <s v="فردى"/>
    <s v="اسبانى"/>
    <n v="140"/>
    <s v="أسود"/>
    <x v="1"/>
    <x v="2"/>
    <s v="سرير اسبانى  ١٤٠ اسود وبيج "/>
    <n v="11817"/>
    <s v="مسبق الدفع "/>
    <d v="2024-09-14T00:00:00"/>
    <d v="2024-10-29T00:00:00"/>
    <d v="2024-10-15T00:00:00"/>
    <n v="45"/>
    <n v="31"/>
    <n v="14"/>
    <x v="1"/>
    <s v="تم التسليم محمود على "/>
    <x v="0"/>
    <x v="0"/>
  </r>
  <r>
    <s v="كينج سونا"/>
    <x v="0"/>
    <s v="الشروق"/>
    <x v="5"/>
    <x v="0"/>
    <x v="1"/>
    <s v="رف سحاب"/>
    <m/>
    <m/>
    <s v=""/>
    <x v="3"/>
    <x v="2"/>
    <s v="تربيزه قهوه مرتفعه برف سحاب "/>
    <n v="8349"/>
    <s v="مسبق الدفع "/>
    <d v="2024-09-14T00:00:00"/>
    <d v="2024-10-29T00:00:00"/>
    <d v="2024-10-19T00:00:00"/>
    <n v="45"/>
    <n v="35"/>
    <n v="10"/>
    <x v="1"/>
    <s v="تم التسليم محمود على "/>
    <x v="0"/>
    <x v="0"/>
  </r>
  <r>
    <s v="احمد خالد"/>
    <x v="0"/>
    <s v="الرحاب"/>
    <x v="5"/>
    <x v="0"/>
    <x v="0"/>
    <s v="فردى"/>
    <s v="فورجينا"/>
    <n v="120"/>
    <s v="أبيض"/>
    <x v="0"/>
    <x v="2"/>
    <s v=" ٢. سرير فورجينا ابيض مقاس ١٢٠"/>
    <n v="17886"/>
    <s v="مسبق الدفع "/>
    <d v="2024-09-14T00:00:00"/>
    <d v="2024-10-29T00:00:00"/>
    <m/>
    <n v="45"/>
    <n v="0"/>
    <s v="0"/>
    <x v="0"/>
    <m/>
    <x v="2"/>
    <x v="2"/>
  </r>
  <r>
    <s v="احمد خالد"/>
    <x v="0"/>
    <s v="الرحاب"/>
    <x v="5"/>
    <x v="0"/>
    <x v="0"/>
    <s v="فردى"/>
    <s v="فورجينا"/>
    <n v="120"/>
    <s v="أبيض"/>
    <x v="0"/>
    <x v="2"/>
    <s v=" ٢. سرير فورجينا ابيض مقاس ١٢٠"/>
    <n v="17886"/>
    <s v="مسبق الدفع "/>
    <d v="2024-09-14T00:00:00"/>
    <d v="2024-10-29T00:00:00"/>
    <m/>
    <n v="45"/>
    <n v="0"/>
    <s v="0"/>
    <x v="0"/>
    <m/>
    <x v="2"/>
    <x v="2"/>
  </r>
  <r>
    <s v="ساره"/>
    <x v="0"/>
    <s v="القاهره الجديده"/>
    <x v="5"/>
    <x v="0"/>
    <x v="0"/>
    <s v="فردى"/>
    <s v="اسبانى"/>
    <n v="120"/>
    <s v="أبيض"/>
    <x v="0"/>
    <x v="2"/>
    <s v="   ٢. سرير اسبانى ابيض ١٢٠"/>
    <n v="10987"/>
    <s v="مسبق الدفع"/>
    <d v="2024-09-14T00:00:00"/>
    <d v="2024-10-29T00:00:00"/>
    <d v="2024-10-13T00:00:00"/>
    <n v="45"/>
    <n v="29"/>
    <n v="16"/>
    <x v="1"/>
    <s v="تم التسليم محمود على "/>
    <x v="0"/>
    <x v="0"/>
  </r>
  <r>
    <s v="ساره"/>
    <x v="0"/>
    <s v="القاهره الجديده"/>
    <x v="5"/>
    <x v="0"/>
    <x v="0"/>
    <s v="فردى"/>
    <s v="اسبانى"/>
    <n v="120"/>
    <s v="أبيض"/>
    <x v="0"/>
    <x v="2"/>
    <s v="   ٢. سرير اسبانى ابيض ١٢٠"/>
    <n v="10987"/>
    <s v="مسبق الدفع"/>
    <d v="2024-09-14T00:00:00"/>
    <d v="2024-10-29T00:00:00"/>
    <d v="2024-10-13T00:00:00"/>
    <n v="45"/>
    <n v="29"/>
    <n v="16"/>
    <x v="1"/>
    <s v="تم التسليم محمود على "/>
    <x v="0"/>
    <x v="0"/>
  </r>
  <r>
    <s v="احمد ايمن"/>
    <x v="0"/>
    <s v="العبور"/>
    <x v="6"/>
    <x v="0"/>
    <x v="1"/>
    <s v="2 ميكانزم"/>
    <m/>
    <m/>
    <s v=""/>
    <x v="3"/>
    <x v="2"/>
    <s v="ترابيزه قهوه علويه جديده "/>
    <n v="10319"/>
    <s v="مسبق الدفع"/>
    <d v="2024-09-14T00:00:00"/>
    <d v="2024-10-29T00:00:00"/>
    <d v="2024-10-19T00:00:00"/>
    <n v="45"/>
    <n v="35"/>
    <n v="10"/>
    <x v="1"/>
    <s v="تم التسليم محمود على "/>
    <x v="0"/>
    <x v="0"/>
  </r>
  <r>
    <s v="مصطفي غنيم"/>
    <x v="0"/>
    <s v="اسيوط"/>
    <x v="8"/>
    <x v="0"/>
    <x v="0"/>
    <s v="دورين"/>
    <s v="كيفنج"/>
    <n v="120"/>
    <s v="رمادى"/>
    <x v="4"/>
    <x v="2"/>
    <s v="سرير كيفنج دورين مقاس ١٢٠ رمادى "/>
    <n v="12999"/>
    <s v="مسبق الدفع "/>
    <d v="2024-09-14T00:00:00"/>
    <d v="2024-11-20T00:00:00"/>
    <d v="2024-10-17T00:00:00"/>
    <n v="67"/>
    <n v="33"/>
    <n v="34"/>
    <x v="1"/>
    <s v="تم التسليم عن طريق شركه شحن "/>
    <x v="0"/>
    <x v="0"/>
  </r>
  <r>
    <s v="حسام عبدون"/>
    <x v="0"/>
    <s v="الغردقه"/>
    <x v="3"/>
    <x v="0"/>
    <x v="2"/>
    <s v="4*1"/>
    <m/>
    <m/>
    <s v="أسود"/>
    <x v="1"/>
    <x v="3"/>
    <s v="كنبه سرير ٤ حركه "/>
    <n v="21999"/>
    <s v="مسبق الدفع"/>
    <d v="2024-09-14T00:00:00"/>
    <d v="2024-11-20T00:00:00"/>
    <m/>
    <n v="67"/>
    <n v="0"/>
    <s v="0"/>
    <x v="0"/>
    <m/>
    <x v="2"/>
    <x v="2"/>
  </r>
  <r>
    <s v="رامى"/>
    <x v="0"/>
    <s v="الشروق"/>
    <x v="5"/>
    <x v="0"/>
    <x v="0"/>
    <s v="دورين"/>
    <s v="نوفال"/>
    <n v="100"/>
    <s v="رمادى"/>
    <x v="4"/>
    <x v="2"/>
    <s v="سرير نوفال ١٠٠ رمادى "/>
    <n v="12399"/>
    <s v="مسبق الدفع"/>
    <d v="2024-09-14T00:00:00"/>
    <d v="2024-11-20T00:00:00"/>
    <d v="2024-10-01T00:00:00"/>
    <n v="67"/>
    <n v="17"/>
    <n v="50"/>
    <x v="1"/>
    <s v="تم التسليم عن طريق شركه شحن "/>
    <x v="0"/>
    <x v="0"/>
  </r>
  <r>
    <s v="رحاب"/>
    <x v="0"/>
    <s v="القاهره الجديده"/>
    <x v="5"/>
    <x v="0"/>
    <x v="2"/>
    <s v="4*1"/>
    <m/>
    <m/>
    <s v="أسود"/>
    <x v="1"/>
    <x v="3"/>
    <s v="كنبه سرير ٤ حركه "/>
    <n v="21999"/>
    <s v="مسبق الدفع"/>
    <d v="2024-09-14T00:00:00"/>
    <d v="2024-11-20T00:00:00"/>
    <d v="2024-10-09T00:00:00"/>
    <n v="67"/>
    <n v="25"/>
    <n v="42"/>
    <x v="1"/>
    <s v="تم التسليم محمود على "/>
    <x v="5"/>
    <x v="0"/>
  </r>
  <r>
    <s v="فؤاد المنسي"/>
    <x v="0"/>
    <s v="المقطم"/>
    <x v="5"/>
    <x v="0"/>
    <x v="0"/>
    <s v="دورين"/>
    <s v="نوفال"/>
    <n v="80"/>
    <s v="أبيض"/>
    <x v="0"/>
    <x v="2"/>
    <s v="سرير نوفال مقاس ٨٠ ابيض "/>
    <n v="10999"/>
    <s v="مسبق الدفع "/>
    <d v="2024-09-14T00:00:00"/>
    <d v="2024-11-20T00:00:00"/>
    <d v="2024-10-16T00:00:00"/>
    <n v="67"/>
    <n v="32"/>
    <n v="35"/>
    <x v="1"/>
    <s v="تم التسليم محمود على "/>
    <x v="5"/>
    <x v="0"/>
  </r>
  <r>
    <s v="mohannad"/>
    <x v="0"/>
    <s v="EL-Maadi"/>
    <x v="5"/>
    <x v="0"/>
    <x v="0"/>
    <s v="دورين"/>
    <s v="كيفنج"/>
    <n v="80"/>
    <s v="أبيض"/>
    <x v="0"/>
    <x v="2"/>
    <m/>
    <n v="10999"/>
    <s v="مسبق الدفع "/>
    <d v="2024-09-15T00:00:00"/>
    <d v="2024-11-20T00:00:00"/>
    <d v="2024-10-16T00:00:00"/>
    <n v="66"/>
    <n v="31"/>
    <n v="35"/>
    <x v="1"/>
    <s v="تم التسليم محمود على "/>
    <x v="5"/>
    <x v="0"/>
  </r>
  <r>
    <s v="mohannad"/>
    <x v="0"/>
    <s v="EL-Maadi"/>
    <x v="5"/>
    <x v="0"/>
    <x v="0"/>
    <s v="دورين"/>
    <s v="كيفنج"/>
    <n v="80"/>
    <s v="أبيض"/>
    <x v="0"/>
    <x v="2"/>
    <m/>
    <n v="10999"/>
    <s v="مسبق الدفع "/>
    <d v="2024-09-15T00:00:00"/>
    <d v="2024-11-20T00:00:00"/>
    <d v="2024-10-16T00:00:00"/>
    <n v="66"/>
    <n v="31"/>
    <n v="35"/>
    <x v="1"/>
    <s v="تم التسليم محمود على "/>
    <x v="5"/>
    <x v="0"/>
  </r>
  <r>
    <s v="Mohamed Ayman"/>
    <x v="0"/>
    <s v="Madinet Badr"/>
    <x v="5"/>
    <x v="0"/>
    <x v="2"/>
    <s v="4*1"/>
    <m/>
    <m/>
    <s v="أسود"/>
    <x v="1"/>
    <x v="3"/>
    <m/>
    <n v="21999"/>
    <s v="مسبق الدفع "/>
    <d v="2024-09-15T00:00:00"/>
    <d v="2024-11-20T00:00:00"/>
    <d v="2024-10-19T00:00:00"/>
    <n v="66"/>
    <n v="34"/>
    <n v="32"/>
    <x v="1"/>
    <s v="تم التسليم محمود على "/>
    <x v="5"/>
    <x v="0"/>
  </r>
  <r>
    <s v="اسامه"/>
    <x v="0"/>
    <s v="العين السخنه"/>
    <x v="7"/>
    <x v="0"/>
    <x v="1"/>
    <s v="2 ميكانزم"/>
    <m/>
    <m/>
    <s v=""/>
    <x v="3"/>
    <x v="2"/>
    <m/>
    <n v="7849"/>
    <n v="6306"/>
    <d v="2024-09-16T00:00:00"/>
    <d v="2024-10-30T00:00:00"/>
    <d v="2024-11-14T00:00:00"/>
    <n v="44"/>
    <n v="59"/>
    <n v="-15"/>
    <x v="2"/>
    <s v="تم التسليم عن طريق شركه شحن "/>
    <x v="0"/>
    <x v="0"/>
  </r>
  <r>
    <s v="اوسكار راتن"/>
    <x v="1"/>
    <s v="المخزن ابو الغيط"/>
    <x v="6"/>
    <x v="4"/>
    <x v="0"/>
    <s v="دورين"/>
    <s v="كيفنج"/>
    <n v="80"/>
    <s v="أبيض"/>
    <x v="0"/>
    <x v="2"/>
    <m/>
    <n v="5074"/>
    <s v="حساب شركه"/>
    <d v="2024-09-21T00:00:00"/>
    <d v="2024-10-05T00:00:00"/>
    <d v="2024-10-12T00:00:00"/>
    <n v="14"/>
    <n v="21"/>
    <n v="-7"/>
    <x v="2"/>
    <s v="تم التسليم محمود على "/>
    <x v="5"/>
    <x v="0"/>
  </r>
  <r>
    <s v="تاكى"/>
    <x v="1"/>
    <s v="العباسيه"/>
    <x v="5"/>
    <x v="3"/>
    <x v="0"/>
    <s v="دورين"/>
    <s v="كينج"/>
    <n v="100"/>
    <s v="أسود وبنى"/>
    <x v="7"/>
    <x v="2"/>
    <m/>
    <n v="6250"/>
    <s v="حساب شركه"/>
    <d v="2024-09-23T00:00:00"/>
    <d v="2024-10-08T00:00:00"/>
    <d v="2024-10-17T00:00:00"/>
    <n v="15"/>
    <n v="24"/>
    <n v="-9"/>
    <x v="2"/>
    <s v="تم التسليم محمود على "/>
    <x v="5"/>
    <x v="0"/>
  </r>
  <r>
    <s v="تاكى"/>
    <x v="1"/>
    <s v="العباسيه"/>
    <x v="5"/>
    <x v="3"/>
    <x v="0"/>
    <s v="دورين"/>
    <s v="كينج"/>
    <n v="100"/>
    <s v="أسود وبنى"/>
    <x v="7"/>
    <x v="2"/>
    <m/>
    <n v="6250"/>
    <s v="حساب شركه"/>
    <d v="2024-09-23T00:00:00"/>
    <d v="2024-10-08T00:00:00"/>
    <d v="2024-10-17T00:00:00"/>
    <n v="15"/>
    <n v="24"/>
    <n v="-9"/>
    <x v="2"/>
    <s v="تم التسليم محمود على "/>
    <x v="5"/>
    <x v="0"/>
  </r>
  <r>
    <s v="ولاء بدوى"/>
    <x v="0"/>
    <s v="العباسيه"/>
    <x v="5"/>
    <x v="0"/>
    <x v="0"/>
    <s v="فردى"/>
    <s v="فورجينا"/>
    <n v="120"/>
    <s v="أبيض"/>
    <x v="0"/>
    <x v="2"/>
    <m/>
    <n v="8943"/>
    <n v="9033"/>
    <d v="2024-09-26T00:00:00"/>
    <d v="2024-11-10T00:00:00"/>
    <d v="2024-10-10T00:00:00"/>
    <n v="45"/>
    <n v="14"/>
    <n v="31"/>
    <x v="1"/>
    <s v="تم التسليم محمود على "/>
    <x v="5"/>
    <x v="0"/>
  </r>
  <r>
    <s v="عبد الرحمن يسري"/>
    <x v="0"/>
    <s v="اكتوبر الجيزه"/>
    <x v="0"/>
    <x v="0"/>
    <x v="1"/>
    <s v="رف سحاب"/>
    <m/>
    <m/>
    <s v=""/>
    <x v="3"/>
    <x v="2"/>
    <m/>
    <n v="8349"/>
    <n v="8433"/>
    <d v="2024-09-26T00:00:00"/>
    <d v="2024-11-10T00:00:00"/>
    <m/>
    <n v="45"/>
    <n v="0"/>
    <s v="0"/>
    <x v="0"/>
    <m/>
    <x v="2"/>
    <x v="2"/>
  </r>
  <r>
    <s v="شيك هومز"/>
    <x v="1"/>
    <s v="التجمع"/>
    <x v="5"/>
    <x v="1"/>
    <x v="2"/>
    <s v="4×1"/>
    <m/>
    <m/>
    <s v=""/>
    <x v="3"/>
    <x v="4"/>
    <m/>
    <n v="14950"/>
    <s v="مسبق الدفع"/>
    <d v="2024-09-26T00:00:00"/>
    <d v="2024-10-14T00:00:00"/>
    <d v="2024-10-13T00:00:00"/>
    <n v="18"/>
    <n v="17"/>
    <n v="1"/>
    <x v="1"/>
    <s v="تم التسليم محمود على "/>
    <x v="0"/>
    <x v="0"/>
  </r>
  <r>
    <s v="شيك هومز"/>
    <x v="1"/>
    <m/>
    <x v="4"/>
    <x v="1"/>
    <x v="0"/>
    <s v="دورين"/>
    <s v="كينج"/>
    <n v="100"/>
    <s v="أسود"/>
    <x v="1"/>
    <x v="2"/>
    <m/>
    <n v="9208"/>
    <n v="9608"/>
    <d v="2024-09-26T00:00:00"/>
    <d v="2024-10-14T00:00:00"/>
    <m/>
    <n v="18"/>
    <n v="0"/>
    <s v="0"/>
    <x v="0"/>
    <m/>
    <x v="2"/>
    <x v="2"/>
  </r>
  <r>
    <s v="شيك هومز"/>
    <x v="1"/>
    <m/>
    <x v="4"/>
    <x v="1"/>
    <x v="0"/>
    <s v="فردى"/>
    <s v="اسبانى"/>
    <n v="120"/>
    <s v="أبيض"/>
    <x v="0"/>
    <x v="2"/>
    <m/>
    <n v="7433"/>
    <s v="مسبق الدفع"/>
    <d v="2024-09-29T00:00:00"/>
    <d v="2024-10-20T00:00:00"/>
    <d v="2024-10-21T00:00:00"/>
    <n v="21"/>
    <n v="22"/>
    <n v="-1"/>
    <x v="2"/>
    <s v="تم التسليم محمود على "/>
    <x v="0"/>
    <x v="0"/>
  </r>
  <r>
    <s v="اوسكار راتن"/>
    <x v="1"/>
    <s v="المخزن ابو الغيط"/>
    <x v="6"/>
    <x v="4"/>
    <x v="0"/>
    <s v="فردى"/>
    <s v="فورجينا"/>
    <n v="120"/>
    <s v="أبيض"/>
    <x v="0"/>
    <x v="2"/>
    <m/>
    <n v="4020"/>
    <s v="حساب شركه"/>
    <d v="2024-09-29T00:00:00"/>
    <d v="2024-10-12T00:00:00"/>
    <d v="2024-10-12T00:00:00"/>
    <n v="13"/>
    <n v="13"/>
    <n v="0"/>
    <x v="0"/>
    <s v="تم التسليم محمود على "/>
    <x v="5"/>
    <x v="0"/>
  </r>
  <r>
    <s v="الحج محمد السويس"/>
    <x v="0"/>
    <s v="السويس"/>
    <x v="7"/>
    <x v="5"/>
    <x v="0"/>
    <s v="دورين"/>
    <s v="فانتاستك"/>
    <n v="100"/>
    <s v="ملون"/>
    <x v="8"/>
    <x v="2"/>
    <m/>
    <n v="8544.9054400000005"/>
    <m/>
    <d v="2024-10-01T00:00:00"/>
    <d v="2024-10-09T00:00:00"/>
    <d v="2024-10-09T00:00:00"/>
    <n v="8"/>
    <n v="8"/>
    <n v="0"/>
    <x v="0"/>
    <s v="تم التسليم بمعرفه الحج سيد "/>
    <x v="0"/>
    <x v="0"/>
  </r>
  <r>
    <s v="الحج محمد السويس"/>
    <x v="0"/>
    <s v="السويس"/>
    <x v="7"/>
    <x v="5"/>
    <x v="0"/>
    <s v="منطبق"/>
    <m/>
    <m/>
    <s v="أسود"/>
    <x v="1"/>
    <x v="5"/>
    <m/>
    <n v="4600"/>
    <m/>
    <d v="2024-10-01T00:00:00"/>
    <d v="2024-10-09T00:00:00"/>
    <d v="2024-10-09T00:00:00"/>
    <n v="8"/>
    <n v="8"/>
    <n v="0"/>
    <x v="0"/>
    <s v="تم التسليم بمعرفه الحج سيد "/>
    <x v="0"/>
    <x v="0"/>
  </r>
  <r>
    <s v="الحج محمد السويس"/>
    <x v="0"/>
    <s v="السويس"/>
    <x v="7"/>
    <x v="5"/>
    <x v="2"/>
    <s v="فنيسيا"/>
    <m/>
    <m/>
    <s v="أسود"/>
    <x v="1"/>
    <x v="6"/>
    <m/>
    <n v="10000"/>
    <m/>
    <d v="2024-10-01T00:00:00"/>
    <d v="2024-10-09T00:00:00"/>
    <d v="2024-10-09T00:00:00"/>
    <n v="8"/>
    <n v="8"/>
    <n v="0"/>
    <x v="0"/>
    <s v="تم التسليم بمعرفه الحج سيد "/>
    <x v="0"/>
    <x v="0"/>
  </r>
  <r>
    <s v="الحج محمد السويس"/>
    <x v="0"/>
    <s v="السويس"/>
    <x v="7"/>
    <x v="5"/>
    <x v="5"/>
    <m/>
    <m/>
    <m/>
    <s v="أسود"/>
    <x v="1"/>
    <x v="4"/>
    <m/>
    <n v="10000"/>
    <m/>
    <d v="2024-10-01T00:00:00"/>
    <d v="2024-10-09T00:00:00"/>
    <d v="2024-10-09T00:00:00"/>
    <n v="8"/>
    <n v="8"/>
    <n v="0"/>
    <x v="0"/>
    <s v="تم التسليم بمعرفه الحج سيد "/>
    <x v="0"/>
    <x v="0"/>
  </r>
  <r>
    <s v="عمرو الأسود"/>
    <x v="0"/>
    <s v="الزمالك"/>
    <x v="5"/>
    <x v="0"/>
    <x v="0"/>
    <s v="منطبق"/>
    <m/>
    <m/>
    <s v="أسود"/>
    <x v="1"/>
    <x v="1"/>
    <m/>
    <n v="8899"/>
    <n v="8988"/>
    <d v="2024-10-03T00:00:00"/>
    <d v="2024-11-17T00:00:00"/>
    <m/>
    <n v="45"/>
    <n v="0"/>
    <s v="0"/>
    <x v="0"/>
    <m/>
    <x v="4"/>
    <x v="4"/>
  </r>
  <r>
    <s v="شيك هومز"/>
    <x v="1"/>
    <s v="مخزن شيك هومز"/>
    <x v="9"/>
    <x v="1"/>
    <x v="2"/>
    <s v="4×1"/>
    <m/>
    <m/>
    <s v="أسود"/>
    <x v="1"/>
    <x v="7"/>
    <m/>
    <n v="14550"/>
    <s v="مسبق الدفع"/>
    <d v="2024-10-08T00:00:00"/>
    <d v="2024-10-29T00:00:00"/>
    <d v="2024-10-30T00:00:00"/>
    <n v="21"/>
    <n v="22"/>
    <n v="-1"/>
    <x v="2"/>
    <s v="تم التسليم محمود على "/>
    <x v="0"/>
    <x v="0"/>
  </r>
  <r>
    <s v="شيك هومز"/>
    <x v="1"/>
    <s v="أكتوبر"/>
    <x v="0"/>
    <x v="1"/>
    <x v="2"/>
    <s v="4×1"/>
    <m/>
    <m/>
    <s v="أسود"/>
    <x v="1"/>
    <x v="7"/>
    <m/>
    <n v="14550"/>
    <s v="مسبق الدفع"/>
    <d v="2024-10-07T00:00:00"/>
    <d v="2024-10-29T00:00:00"/>
    <d v="2024-10-15T00:00:00"/>
    <n v="22"/>
    <n v="8"/>
    <n v="14"/>
    <x v="1"/>
    <s v="تم التسليم محمود على "/>
    <x v="0"/>
    <x v="0"/>
  </r>
  <r>
    <s v="شيك هومز"/>
    <x v="1"/>
    <m/>
    <x v="4"/>
    <x v="1"/>
    <x v="2"/>
    <s v="4×1"/>
    <m/>
    <m/>
    <s v="أسود"/>
    <x v="1"/>
    <x v="4"/>
    <m/>
    <n v="14550"/>
    <n v="11495"/>
    <d v="2024-10-10T00:00:00"/>
    <d v="2024-10-31T00:00:00"/>
    <d v="2024-11-02T00:00:00"/>
    <n v="21"/>
    <n v="23"/>
    <n v="-2"/>
    <x v="2"/>
    <s v="تم التسليم محمود على "/>
    <x v="0"/>
    <x v="0"/>
  </r>
  <r>
    <s v="keira"/>
    <x v="0"/>
    <s v="القاهره الجديده"/>
    <x v="5"/>
    <x v="0"/>
    <x v="0"/>
    <s v="دورين"/>
    <s v="نوفال "/>
    <s v="١٤٠/١٠٠"/>
    <s v="بينك"/>
    <x v="9"/>
    <x v="2"/>
    <m/>
    <n v="12899"/>
    <n v="13028"/>
    <d v="2024-10-13T00:00:00"/>
    <d v="2024-12-17T00:00:00"/>
    <d v="2024-11-02T00:00:00"/>
    <n v="65"/>
    <n v="20"/>
    <n v="45"/>
    <x v="1"/>
    <s v="تم التسليم محمود على "/>
    <x v="0"/>
    <x v="0"/>
  </r>
  <r>
    <s v="tarek"/>
    <x v="0"/>
    <s v="مصر الجديده"/>
    <x v="5"/>
    <x v="0"/>
    <x v="0"/>
    <s v="دورين"/>
    <s v="كيفنج"/>
    <n v="80"/>
    <s v="أبيض"/>
    <x v="0"/>
    <x v="2"/>
    <m/>
    <n v="10499"/>
    <s v="مسبق الدفع"/>
    <d v="2024-10-16T00:00:00"/>
    <d v="2024-12-19T00:00:00"/>
    <d v="2024-10-21T00:00:00"/>
    <n v="64"/>
    <n v="5"/>
    <n v="59"/>
    <x v="1"/>
    <s v="تم التسليم محمود على "/>
    <x v="0"/>
    <x v="0"/>
  </r>
  <r>
    <s v="reem"/>
    <x v="0"/>
    <s v="البطاش اسكندريه"/>
    <x v="1"/>
    <x v="0"/>
    <x v="0"/>
    <s v="دورين"/>
    <s v="نوفال"/>
    <s v="١٠٠/١٤٠"/>
    <s v="بينك"/>
    <x v="9"/>
    <x v="2"/>
    <m/>
    <n v="12899"/>
    <s v="مسبق الدفع"/>
    <d v="2024-10-17T00:00:00"/>
    <d v="2024-12-22T00:00:00"/>
    <d v="2024-12-03T00:00:00"/>
    <n v="66"/>
    <n v="47"/>
    <n v="19"/>
    <x v="1"/>
    <s v="تم التسليم عن طريق شركه شحن "/>
    <x v="5"/>
    <x v="0"/>
  </r>
  <r>
    <s v="هشام سامى"/>
    <x v="0"/>
    <s v="41 كومبوند جولدن جستس الدور 4 شقه 4"/>
    <x v="5"/>
    <x v="6"/>
    <x v="0"/>
    <s v="فردى"/>
    <s v="بلحه"/>
    <n v="140"/>
    <s v="نبيتى"/>
    <x v="10"/>
    <x v="8"/>
    <m/>
    <n v="5135"/>
    <s v="مسبق الدفع"/>
    <d v="2024-10-20T00:00:00"/>
    <d v="2024-11-17T00:00:00"/>
    <d v="2024-11-14T00:00:00"/>
    <n v="28"/>
    <n v="25"/>
    <n v="3"/>
    <x v="1"/>
    <s v="تم التسليم محمود على "/>
    <x v="0"/>
    <x v="0"/>
  </r>
  <r>
    <s v="شيك هومز"/>
    <x v="1"/>
    <s v="اكتوبر الجيزه"/>
    <x v="0"/>
    <x v="1"/>
    <x v="0"/>
    <s v="دورين"/>
    <s v="فانتستيك"/>
    <n v="100"/>
    <s v="الوان"/>
    <x v="11"/>
    <x v="2"/>
    <m/>
    <n v="12777.5"/>
    <n v="11277.5"/>
    <d v="2024-10-22T00:00:00"/>
    <d v="2024-11-12T00:00:00"/>
    <d v="2024-11-18T00:00:00"/>
    <n v="21"/>
    <n v="27"/>
    <n v="-6"/>
    <x v="2"/>
    <s v="تم التسليم محمود على "/>
    <x v="0"/>
    <x v="0"/>
  </r>
  <r>
    <s v="شيك هومز"/>
    <x v="1"/>
    <s v="اكتوبر الجيزه"/>
    <x v="0"/>
    <x v="1"/>
    <x v="0"/>
    <s v="دورين"/>
    <s v="فانتستيك"/>
    <n v="100"/>
    <s v="الوان"/>
    <x v="11"/>
    <x v="2"/>
    <m/>
    <n v="12777.5"/>
    <n v="11277.5"/>
    <d v="2024-10-22T00:00:00"/>
    <d v="2024-11-12T00:00:00"/>
    <d v="2024-11-18T00:00:00"/>
    <n v="21"/>
    <n v="27"/>
    <n v="-6"/>
    <x v="2"/>
    <s v="تم التسليم محمود على "/>
    <x v="0"/>
    <x v="0"/>
  </r>
  <r>
    <s v="اوسكار راتن"/>
    <x v="1"/>
    <s v="المعرض مدينه نصر"/>
    <x v="5"/>
    <x v="4"/>
    <x v="0"/>
    <s v="دورين"/>
    <s v="فانتستيك"/>
    <n v="100"/>
    <s v="الوان"/>
    <x v="11"/>
    <x v="2"/>
    <m/>
    <n v="8544.91"/>
    <s v="حساب شركه"/>
    <d v="2024-10-22T00:00:00"/>
    <m/>
    <m/>
    <n v="0"/>
    <n v="0"/>
    <s v="0"/>
    <x v="0"/>
    <m/>
    <x v="6"/>
    <x v="5"/>
  </r>
  <r>
    <s v="فاطمه محمد"/>
    <x v="0"/>
    <s v="أكتوبر الجيزه"/>
    <x v="0"/>
    <x v="0"/>
    <x v="0"/>
    <s v="فردى"/>
    <s v="فورجينا"/>
    <n v="120"/>
    <s v="أبيض"/>
    <x v="0"/>
    <x v="2"/>
    <m/>
    <n v="8943"/>
    <n v="9007.01"/>
    <d v="2024-10-21T00:00:00"/>
    <d v="2024-11-14T00:00:00"/>
    <d v="2024-11-18T00:00:00"/>
    <n v="24"/>
    <n v="28"/>
    <n v="-4"/>
    <x v="2"/>
    <s v="تم التسليم محمود على "/>
    <x v="0"/>
    <x v="0"/>
  </r>
  <r>
    <s v="شيك هومز"/>
    <x v="1"/>
    <m/>
    <x v="4"/>
    <x v="1"/>
    <x v="2"/>
    <s v="4×1"/>
    <m/>
    <m/>
    <s v="أسود"/>
    <x v="1"/>
    <x v="2"/>
    <m/>
    <n v="15516"/>
    <s v="مسبق الدفع"/>
    <d v="2024-10-24T00:00:00"/>
    <d v="2024-11-14T00:00:00"/>
    <d v="2024-10-30T00:00:00"/>
    <n v="21"/>
    <n v="6"/>
    <n v="15"/>
    <x v="1"/>
    <s v="تم التسليم محمود على "/>
    <x v="0"/>
    <x v="0"/>
  </r>
  <r>
    <s v="شيك هومز"/>
    <x v="1"/>
    <m/>
    <x v="4"/>
    <x v="1"/>
    <x v="0"/>
    <s v="دورين"/>
    <s v="كينج"/>
    <n v="100"/>
    <s v="أسود"/>
    <x v="1"/>
    <x v="2"/>
    <m/>
    <n v="10045"/>
    <n v="8879"/>
    <d v="2024-10-26T00:00:00"/>
    <d v="2024-11-16T00:00:00"/>
    <m/>
    <n v="21"/>
    <n v="0"/>
    <s v="0"/>
    <x v="0"/>
    <m/>
    <x v="2"/>
    <x v="2"/>
  </r>
  <r>
    <s v="ساره"/>
    <x v="0"/>
    <s v="الشيخ زايد اكتوبر"/>
    <x v="0"/>
    <x v="0"/>
    <x v="0"/>
    <s v="دورين"/>
    <s v="كينج"/>
    <n v="90"/>
    <s v="أسود"/>
    <x v="1"/>
    <x v="2"/>
    <m/>
    <n v="11649"/>
    <n v="11749"/>
    <d v="2024-10-26T00:00:00"/>
    <d v="2024-11-10T00:00:00"/>
    <d v="2024-11-18T00:00:00"/>
    <n v="15"/>
    <n v="23"/>
    <n v="-8"/>
    <x v="2"/>
    <s v="تم التسليم محمود على "/>
    <x v="0"/>
    <x v="0"/>
  </r>
  <r>
    <s v="ساره"/>
    <x v="0"/>
    <s v="الشيخ زايد اكتوبر"/>
    <x v="0"/>
    <x v="0"/>
    <x v="0"/>
    <s v="دورين"/>
    <s v="كينج"/>
    <n v="90"/>
    <s v="أسود"/>
    <x v="1"/>
    <x v="2"/>
    <m/>
    <n v="11649"/>
    <n v="11749"/>
    <d v="2024-10-26T00:00:00"/>
    <d v="2024-11-10T00:00:00"/>
    <d v="2024-11-18T00:00:00"/>
    <n v="15"/>
    <n v="23"/>
    <n v="-8"/>
    <x v="2"/>
    <s v="تم التسليم محمود على "/>
    <x v="0"/>
    <x v="0"/>
  </r>
  <r>
    <s v="بولا هومزمارت"/>
    <x v="0"/>
    <s v="المعادى"/>
    <x v="5"/>
    <x v="0"/>
    <x v="0"/>
    <s v="فردى"/>
    <s v="اسبانى"/>
    <n v="100"/>
    <s v="أبيض"/>
    <x v="0"/>
    <x v="2"/>
    <m/>
    <n v="5100"/>
    <n v="4800"/>
    <d v="2024-10-28T00:00:00"/>
    <d v="2024-11-11T00:00:00"/>
    <d v="2024-11-21T00:00:00"/>
    <n v="14"/>
    <n v="24"/>
    <n v="-10"/>
    <x v="2"/>
    <s v="تم التسليم محمود على "/>
    <x v="0"/>
    <x v="0"/>
  </r>
  <r>
    <s v="بولا هومزمارت"/>
    <x v="0"/>
    <s v="المعادى"/>
    <x v="5"/>
    <x v="0"/>
    <x v="0"/>
    <s v="فردى"/>
    <s v="اسبانى"/>
    <n v="120"/>
    <s v="أبيض"/>
    <x v="0"/>
    <x v="2"/>
    <m/>
    <n v="5300"/>
    <n v="4800"/>
    <d v="2024-10-28T00:00:00"/>
    <d v="2024-11-11T00:00:00"/>
    <d v="2024-11-21T00:00:00"/>
    <n v="14"/>
    <n v="24"/>
    <n v="-10"/>
    <x v="2"/>
    <s v="تم التسليم محمود على "/>
    <x v="0"/>
    <x v="0"/>
  </r>
  <r>
    <s v="محمد شكرى"/>
    <x v="0"/>
    <s v="مدينتى"/>
    <x v="5"/>
    <x v="0"/>
    <x v="0"/>
    <s v="دورين"/>
    <s v="كيفنج"/>
    <n v="80"/>
    <s v="أبيض"/>
    <x v="0"/>
    <x v="2"/>
    <m/>
    <n v="12099"/>
    <s v="مسبق الدفع"/>
    <d v="2024-11-11T00:00:00"/>
    <d v="2024-11-26T00:00:00"/>
    <d v="2024-11-27T00:00:00"/>
    <n v="15"/>
    <n v="16"/>
    <n v="-1"/>
    <x v="2"/>
    <s v="تم التسليم محمود على "/>
    <x v="0"/>
    <x v="0"/>
  </r>
  <r>
    <s v="شيك هومز"/>
    <x v="1"/>
    <s v="مخزن شيك هومز"/>
    <x v="9"/>
    <x v="1"/>
    <x v="2"/>
    <s v="4×1"/>
    <s v="ارينا"/>
    <m/>
    <s v="أسود"/>
    <x v="1"/>
    <x v="7"/>
    <m/>
    <n v="15872"/>
    <s v="مسبق الدفع"/>
    <d v="2024-11-08T00:00:00"/>
    <d v="2024-12-03T00:00:00"/>
    <d v="2024-11-14T00:00:00"/>
    <n v="25"/>
    <n v="6"/>
    <n v="19"/>
    <x v="1"/>
    <s v="تم التسليم محمود على "/>
    <x v="0"/>
    <x v="0"/>
  </r>
  <r>
    <s v="منزلى"/>
    <x v="0"/>
    <s v="التجمع الخامس"/>
    <x v="5"/>
    <x v="6"/>
    <x v="0"/>
    <s v="فردى"/>
    <s v="فورجينا"/>
    <n v="120"/>
    <s v="أبيض"/>
    <x v="0"/>
    <x v="2"/>
    <m/>
    <n v="4520"/>
    <s v="حساب شركه"/>
    <d v="2024-11-10T00:00:00"/>
    <d v="2024-11-22T00:00:00"/>
    <d v="2024-11-21T00:00:00"/>
    <n v="12"/>
    <n v="11"/>
    <n v="1"/>
    <x v="1"/>
    <s v="تم التسليم محمود على "/>
    <x v="0"/>
    <x v="0"/>
  </r>
  <r>
    <s v="اوسكار راتن"/>
    <x v="1"/>
    <s v="المخزن ابو الغيط"/>
    <x v="6"/>
    <x v="4"/>
    <x v="0"/>
    <s v="دورين"/>
    <s v="كينج"/>
    <n v="90"/>
    <s v="أسود"/>
    <x v="1"/>
    <x v="2"/>
    <m/>
    <n v="5766"/>
    <s v="حساب شركه"/>
    <d v="2024-11-12T00:00:00"/>
    <d v="2024-11-26T00:00:00"/>
    <d v="2024-11-25T00:00:00"/>
    <n v="14"/>
    <n v="13"/>
    <n v="1"/>
    <x v="1"/>
    <s v="تم التسليم محمود على "/>
    <x v="0"/>
    <x v="0"/>
  </r>
  <r>
    <s v="حماده"/>
    <x v="0"/>
    <s v="المعادى"/>
    <x v="5"/>
    <x v="0"/>
    <x v="0"/>
    <s v="فردى"/>
    <s v="فورجينا"/>
    <n v="160"/>
    <s v="بنفسجى"/>
    <x v="6"/>
    <x v="2"/>
    <m/>
    <n v="11395"/>
    <s v="مسبق الدفع"/>
    <d v="2024-11-12T00:00:00"/>
    <d v="2024-11-24T00:00:00"/>
    <d v="2024-11-27T00:00:00"/>
    <n v="12"/>
    <n v="15"/>
    <n v="-3"/>
    <x v="2"/>
    <s v="تم التسليم محمود على "/>
    <x v="0"/>
    <x v="0"/>
  </r>
  <r>
    <s v="صفاء عبد الباقي"/>
    <x v="0"/>
    <s v="التجمع الخامس"/>
    <x v="5"/>
    <x v="0"/>
    <x v="0"/>
    <s v="دورين"/>
    <s v="كينج "/>
    <n v="80"/>
    <s v="أبيض"/>
    <x v="0"/>
    <x v="2"/>
    <m/>
    <n v="12919"/>
    <s v="مسبق الدفع"/>
    <d v="2024-11-14T00:00:00"/>
    <d v="2024-11-30T00:00:00"/>
    <d v="2024-11-27T00:00:00"/>
    <n v="16"/>
    <n v="13"/>
    <n v="3"/>
    <x v="1"/>
    <s v="تم التسليم محمود على "/>
    <x v="0"/>
    <x v="0"/>
  </r>
  <r>
    <s v="اوسكار راتن"/>
    <x v="1"/>
    <s v="المخزن ابو الغيط"/>
    <x v="6"/>
    <x v="4"/>
    <x v="0"/>
    <s v="دورين"/>
    <s v="نوفال"/>
    <n v="120"/>
    <s v="رمادى"/>
    <x v="4"/>
    <x v="2"/>
    <m/>
    <n v="6376"/>
    <s v="حساب شركه"/>
    <d v="2024-11-14T00:00:00"/>
    <d v="2024-11-27T00:00:00"/>
    <d v="2024-11-25T00:00:00"/>
    <n v="13"/>
    <n v="11"/>
    <n v="2"/>
    <x v="1"/>
    <s v="تم التسليم محمود على "/>
    <x v="0"/>
    <x v="0"/>
  </r>
  <r>
    <s v="اوسكار راتن"/>
    <x v="1"/>
    <s v="المخزن"/>
    <x v="9"/>
    <x v="4"/>
    <x v="0"/>
    <s v="دورين "/>
    <s v="نوفال"/>
    <n v="90"/>
    <s v="أسود"/>
    <x v="1"/>
    <x v="2"/>
    <m/>
    <n v="5294"/>
    <s v="حساب شركه"/>
    <d v="2024-11-14T00:00:00"/>
    <d v="2024-11-27T00:00:00"/>
    <d v="2024-11-25T00:00:00"/>
    <n v="13"/>
    <n v="11"/>
    <n v="2"/>
    <x v="1"/>
    <s v="تم التسليم محمود على "/>
    <x v="0"/>
    <x v="0"/>
  </r>
  <r>
    <s v="رندا العامرى"/>
    <x v="0"/>
    <s v="٦ اكتوبر الجيزه"/>
    <x v="0"/>
    <x v="7"/>
    <x v="0"/>
    <s v="دورين "/>
    <s v="كيفنج "/>
    <n v="80"/>
    <s v="أبيض"/>
    <x v="0"/>
    <x v="2"/>
    <m/>
    <n v="7396"/>
    <s v="مسبق الدفع"/>
    <d v="2024-11-17T00:00:00"/>
    <d v="2024-11-28T00:00:00"/>
    <d v="2024-11-26T00:00:00"/>
    <n v="11"/>
    <n v="9"/>
    <n v="2"/>
    <x v="1"/>
    <s v="تم التسليم محمود على "/>
    <x v="0"/>
    <x v="0"/>
  </r>
  <r>
    <s v="ساره"/>
    <x v="0"/>
    <s v="٦ اكتوبر الجيزه"/>
    <x v="0"/>
    <x v="0"/>
    <x v="0"/>
    <s v="دورين"/>
    <s v="كينج"/>
    <n v="90"/>
    <s v="أسود"/>
    <x v="1"/>
    <x v="2"/>
    <m/>
    <n v="13439"/>
    <n v="13575"/>
    <d v="2024-11-20T00:00:00"/>
    <d v="2024-12-05T00:00:00"/>
    <d v="2024-11-26T00:00:00"/>
    <n v="15"/>
    <n v="6"/>
    <n v="9"/>
    <x v="1"/>
    <s v="تم التسليم محمود على "/>
    <x v="0"/>
    <x v="0"/>
  </r>
  <r>
    <s v="تاكى"/>
    <x v="1"/>
    <s v="العباسيه"/>
    <x v="5"/>
    <x v="3"/>
    <x v="0"/>
    <s v="فردى "/>
    <s v="امريكى"/>
    <n v="160"/>
    <s v="أسود"/>
    <x v="1"/>
    <x v="2"/>
    <m/>
    <n v="5100"/>
    <s v="حساب شركه"/>
    <d v="2024-11-14T00:00:00"/>
    <d v="2024-12-08T00:00:00"/>
    <m/>
    <n v="24"/>
    <n v="0"/>
    <s v="0"/>
    <x v="0"/>
    <m/>
    <x v="4"/>
    <x v="4"/>
  </r>
  <r>
    <s v="محمد حمدى"/>
    <x v="0"/>
    <s v="مصر الجديده"/>
    <x v="5"/>
    <x v="2"/>
    <x v="0"/>
    <s v="فردى"/>
    <s v="كوين "/>
    <n v="160"/>
    <s v="دهبي"/>
    <x v="5"/>
    <x v="0"/>
    <m/>
    <n v="6000"/>
    <n v="5800"/>
    <d v="2024-11-22T00:00:00"/>
    <d v="2024-12-02T00:00:00"/>
    <d v="2024-11-27T00:00:00"/>
    <n v="10"/>
    <n v="5"/>
    <n v="5"/>
    <x v="1"/>
    <s v="تم التسليم محمود على "/>
    <x v="0"/>
    <x v="0"/>
  </r>
  <r>
    <s v="بافلى هانى"/>
    <x v="0"/>
    <s v="شبرا"/>
    <x v="5"/>
    <x v="0"/>
    <x v="0"/>
    <s v="فردى "/>
    <s v="اسبانى "/>
    <n v="120"/>
    <s v="رمادى"/>
    <x v="4"/>
    <x v="2"/>
    <m/>
    <n v="10885"/>
    <n v="7965"/>
    <d v="2024-11-24T00:00:00"/>
    <d v="2024-12-05T00:00:00"/>
    <d v="2024-12-10T00:00:00"/>
    <n v="11"/>
    <n v="16"/>
    <n v="-5"/>
    <x v="2"/>
    <s v="تم التسليم محمود على "/>
    <x v="0"/>
    <x v="0"/>
  </r>
  <r>
    <s v="تاكى"/>
    <x v="1"/>
    <s v="العباسيه"/>
    <x v="5"/>
    <x v="3"/>
    <x v="2"/>
    <s v="t1"/>
    <s v="t1"/>
    <m/>
    <s v=""/>
    <x v="3"/>
    <x v="2"/>
    <m/>
    <n v="6000"/>
    <n v="6000"/>
    <d v="2024-11-19T00:00:00"/>
    <d v="2024-12-05T00:00:00"/>
    <d v="2024-11-20T00:00:00"/>
    <n v="16"/>
    <n v="1"/>
    <n v="15"/>
    <x v="1"/>
    <s v="تم التسليم م محمد "/>
    <x v="0"/>
    <x v="0"/>
  </r>
  <r>
    <s v="رنا ميلاد"/>
    <x v="0"/>
    <s v="جليم الإسكندرية"/>
    <x v="1"/>
    <x v="0"/>
    <x v="1"/>
    <m/>
    <s v="مكتبه"/>
    <m/>
    <s v=""/>
    <x v="3"/>
    <x v="2"/>
    <m/>
    <n v="8449"/>
    <s v="مسبق الدفع"/>
    <d v="2024-11-27T00:00:00"/>
    <d v="2024-12-10T00:00:00"/>
    <d v="2024-12-23T00:00:00"/>
    <n v="13"/>
    <n v="26"/>
    <n v="-13"/>
    <x v="2"/>
    <s v="تم التسليم عن طريق شركه شحن "/>
    <x v="0"/>
    <x v="0"/>
  </r>
  <r>
    <s v="محمد ناجى"/>
    <x v="0"/>
    <s v="مدينه نصر"/>
    <x v="5"/>
    <x v="0"/>
    <x v="1"/>
    <s v="دوران "/>
    <s v="ميكانزم"/>
    <m/>
    <s v="أبيض"/>
    <x v="0"/>
    <x v="9"/>
    <m/>
    <n v="10249"/>
    <n v="6211"/>
    <d v="2024-11-27T00:00:00"/>
    <d v="2024-12-10T00:00:00"/>
    <d v="2024-12-19T00:00:00"/>
    <n v="13"/>
    <n v="22"/>
    <n v="-9"/>
    <x v="2"/>
    <s v="تم التسليم محمود على "/>
    <x v="0"/>
    <x v="0"/>
  </r>
  <r>
    <s v="احمد عبد الستار"/>
    <x v="0"/>
    <s v="المندره اسكندريه"/>
    <x v="1"/>
    <x v="0"/>
    <x v="0"/>
    <s v="دورين"/>
    <s v="كيفنج"/>
    <n v="100"/>
    <s v="أسود"/>
    <x v="1"/>
    <x v="2"/>
    <m/>
    <n v="14905"/>
    <s v="مسبق الدفع"/>
    <d v="2024-11-29T00:00:00"/>
    <d v="2024-12-15T00:00:00"/>
    <m/>
    <n v="16"/>
    <n v="0"/>
    <s v="0"/>
    <x v="0"/>
    <s v="العميل رفض الاستلام"/>
    <x v="2"/>
    <x v="2"/>
  </r>
  <r>
    <s v="نور"/>
    <x v="0"/>
    <s v="القاهره الجديده"/>
    <x v="5"/>
    <x v="0"/>
    <x v="1"/>
    <s v="دوران "/>
    <s v="ميكانزم"/>
    <m/>
    <s v="أسود"/>
    <x v="1"/>
    <x v="10"/>
    <m/>
    <n v="10249"/>
    <s v="مسبق الدفع"/>
    <d v="2024-11-30T00:00:00"/>
    <d v="2024-12-12T00:00:00"/>
    <m/>
    <n v="12"/>
    <n v="0"/>
    <s v="0"/>
    <x v="0"/>
    <m/>
    <x v="2"/>
    <x v="2"/>
  </r>
  <r>
    <s v="نور"/>
    <x v="0"/>
    <s v="القاهره الجديده"/>
    <x v="5"/>
    <x v="0"/>
    <x v="1"/>
    <s v="رف سحاب"/>
    <m/>
    <m/>
    <s v="أسود"/>
    <x v="1"/>
    <x v="10"/>
    <m/>
    <n v="9029"/>
    <s v="مسبق الدفع"/>
    <d v="2024-11-30T00:00:00"/>
    <d v="2024-12-12T00:00:00"/>
    <m/>
    <n v="12"/>
    <n v="0"/>
    <s v="0"/>
    <x v="0"/>
    <m/>
    <x v="2"/>
    <x v="2"/>
  </r>
  <r>
    <s v="تامر"/>
    <x v="0"/>
    <s v="العين السخنه"/>
    <x v="7"/>
    <x v="0"/>
    <x v="1"/>
    <s v="٢ ميكانزم"/>
    <m/>
    <m/>
    <s v="أسود"/>
    <x v="1"/>
    <x v="5"/>
    <m/>
    <n v="9029"/>
    <s v="مسبق الدفع"/>
    <d v="2024-11-30T00:00:00"/>
    <d v="2024-12-12T00:00:00"/>
    <m/>
    <n v="12"/>
    <n v="0"/>
    <s v="0"/>
    <x v="0"/>
    <m/>
    <x v="4"/>
    <x v="4"/>
  </r>
  <r>
    <s v="هناء اسامه"/>
    <x v="0"/>
    <s v="القطاميه"/>
    <x v="5"/>
    <x v="0"/>
    <x v="0"/>
    <s v="دورين "/>
    <s v="نوفال"/>
    <n v="80"/>
    <s v="أبيض"/>
    <x v="0"/>
    <x v="2"/>
    <m/>
    <n v="12099"/>
    <s v="مسبق الدفع"/>
    <d v="2024-12-02T00:00:00"/>
    <d v="2024-12-17T00:00:00"/>
    <m/>
    <n v="15"/>
    <n v="0"/>
    <s v="0"/>
    <x v="0"/>
    <m/>
    <x v="2"/>
    <x v="2"/>
  </r>
  <r>
    <s v="اوسكار راتن"/>
    <x v="1"/>
    <s v="المخزن ابو الغيط"/>
    <x v="6"/>
    <x v="4"/>
    <x v="0"/>
    <s v="دورين "/>
    <s v="كيفنج "/>
    <n v="90"/>
    <s v="ازرق"/>
    <x v="2"/>
    <x v="2"/>
    <m/>
    <n v="5217"/>
    <s v="حساب شركه"/>
    <d v="2024-12-01T00:00:00"/>
    <d v="2024-12-14T00:00:00"/>
    <d v="2024-12-10T00:00:00"/>
    <n v="13"/>
    <n v="9"/>
    <n v="4"/>
    <x v="1"/>
    <s v="تم التسليم محمود على "/>
    <x v="0"/>
    <x v="0"/>
  </r>
  <r>
    <s v="محمد عادل"/>
    <x v="0"/>
    <s v="العبور"/>
    <x v="6"/>
    <x v="0"/>
    <x v="0"/>
    <s v="منطبق"/>
    <m/>
    <m/>
    <s v="أسود"/>
    <x v="1"/>
    <x v="1"/>
    <m/>
    <n v="10249"/>
    <n v="6211"/>
    <d v="2024-12-04T00:00:00"/>
    <d v="2024-12-14T00:00:00"/>
    <d v="2024-12-19T00:00:00"/>
    <n v="10"/>
    <n v="15"/>
    <n v="-5"/>
    <x v="2"/>
    <s v="تم التسليم محمود على "/>
    <x v="0"/>
    <x v="0"/>
  </r>
  <r>
    <s v="مريم عنان"/>
    <x v="0"/>
    <s v="اب تاون كايرو التجمع"/>
    <x v="5"/>
    <x v="1"/>
    <x v="0"/>
    <s v="دورين"/>
    <s v="كينج"/>
    <m/>
    <s v="أسود"/>
    <x v="1"/>
    <x v="2"/>
    <m/>
    <n v="10445"/>
    <n v="7707"/>
    <d v="2024-12-09T00:00:00"/>
    <d v="2024-12-31T00:00:00"/>
    <d v="2024-12-12T00:00:00"/>
    <n v="22"/>
    <n v="3"/>
    <n v="19"/>
    <x v="1"/>
    <s v="تم التسليم محمود على "/>
    <x v="0"/>
    <x v="0"/>
  </r>
  <r>
    <s v="هبه عطيه"/>
    <x v="0"/>
    <s v="القاهره الجديده"/>
    <x v="5"/>
    <x v="0"/>
    <x v="1"/>
    <s v="دوران"/>
    <s v="ميكانزم"/>
    <m/>
    <s v="أسود"/>
    <x v="1"/>
    <x v="10"/>
    <m/>
    <n v="11199"/>
    <n v="11257"/>
    <d v="2024-12-12T00:00:00"/>
    <d v="2024-12-24T00:00:00"/>
    <d v="2024-12-19T00:00:00"/>
    <n v="12"/>
    <n v="7"/>
    <n v="5"/>
    <x v="1"/>
    <s v="تم التسليم محمود على "/>
    <x v="0"/>
    <x v="0"/>
  </r>
  <r>
    <s v="حمدى ذكرى"/>
    <x v="0"/>
    <s v="٦ اكتوبر الجيزه"/>
    <x v="0"/>
    <x v="0"/>
    <x v="0"/>
    <s v="دورين"/>
    <s v="نوفال"/>
    <n v="80"/>
    <s v="أسود"/>
    <x v="1"/>
    <x v="2"/>
    <m/>
    <n v="13099"/>
    <n v="13231"/>
    <d v="2024-12-12T00:00:00"/>
    <d v="2024-12-28T00:00:00"/>
    <d v="2024-12-29T00:00:00"/>
    <n v="16"/>
    <n v="17"/>
    <n v="-1"/>
    <x v="2"/>
    <s v="تم التسليم محمود على "/>
    <x v="0"/>
    <x v="0"/>
  </r>
  <r>
    <s v="شيك هومز"/>
    <x v="1"/>
    <s v="مخزن شيك هومز"/>
    <x v="9"/>
    <x v="1"/>
    <x v="2"/>
    <s v="4×1"/>
    <s v="ارينا"/>
    <m/>
    <s v="أسود"/>
    <x v="1"/>
    <x v="11"/>
    <m/>
    <n v="8700"/>
    <s v="حساب شركه"/>
    <d v="2024-12-14T00:00:00"/>
    <d v="2025-01-05T00:00:00"/>
    <d v="2024-12-29T00:00:00"/>
    <n v="22"/>
    <n v="15"/>
    <n v="7"/>
    <x v="1"/>
    <s v="تم التسليم محمود على "/>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F9CB2-2EE3-4282-A537-E4787544A1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8:Q15" firstHeaderRow="1" firstDataRow="1" firstDataCol="1"/>
  <pivotFields count="25">
    <pivotField showAll="0"/>
    <pivotField showAll="0"/>
    <pivotField showAll="0"/>
    <pivotField showAll="0"/>
    <pivotField showAll="0"/>
    <pivotField axis="axisRow" showAll="0" sortType="de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 showAll="0"/>
    <pivotField numFmtId="1" showAll="0"/>
    <pivotField showAll="0"/>
    <pivotField showAll="0"/>
    <pivotField showAll="0"/>
    <pivotField showAll="0"/>
  </pivotFields>
  <rowFields count="1">
    <field x="5"/>
  </rowFields>
  <rowItems count="7">
    <i>
      <x v="1"/>
    </i>
    <i>
      <x v="5"/>
    </i>
    <i>
      <x v="3"/>
    </i>
    <i>
      <x v="2"/>
    </i>
    <i>
      <x v="4"/>
    </i>
    <i>
      <x/>
    </i>
    <i t="grand">
      <x/>
    </i>
  </rowItems>
  <colItems count="1">
    <i/>
  </colItems>
  <dataFields count="1">
    <dataField name="Average of سعر البيع " fld="13" subtotal="average" baseField="4" baseItem="0"/>
  </dataFields>
  <formats count="1">
    <format dxfId="37">
      <pivotArea collapsedLevelsAreSubtotals="1" fieldPosition="0">
        <references count="1">
          <reference field="5" count="0"/>
        </references>
      </pivotArea>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DB980A-F19E-49E2-8901-B38900404D2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O8:AP12" firstHeaderRow="1" firstDataRow="1" firstDataCol="1"/>
  <pivotFields count="25">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items count="8">
        <item x="0"/>
        <item x="5"/>
        <item x="1"/>
        <item x="2"/>
        <item x="3"/>
        <item x="6"/>
        <item h="1" x="4"/>
        <item t="default"/>
      </items>
    </pivotField>
    <pivotField axis="axisRow" showAll="0" sortType="descending">
      <items count="7">
        <item h="1" x="4"/>
        <item x="0"/>
        <item x="1"/>
        <item x="2"/>
        <item h="1" x="3"/>
        <item h="1" x="5"/>
        <item t="default"/>
      </items>
      <autoSortScope>
        <pivotArea dataOnly="0" outline="0" fieldPosition="0">
          <references count="1">
            <reference field="4294967294" count="1" selected="0">
              <x v="0"/>
            </reference>
          </references>
        </pivotArea>
      </autoSortScope>
    </pivotField>
  </pivotFields>
  <rowFields count="1">
    <field x="24"/>
  </rowFields>
  <rowItems count="4">
    <i>
      <x v="1"/>
    </i>
    <i>
      <x v="3"/>
    </i>
    <i>
      <x v="2"/>
    </i>
    <i t="grand">
      <x/>
    </i>
  </rowItems>
  <colItems count="1">
    <i/>
  </colItems>
  <dataFields count="1">
    <dataField name="Count of Column1" fld="5" subtotal="count" showDataAs="percentOfTotal" baseField="23"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4" count="1" selected="0">
            <x v="1"/>
          </reference>
        </references>
      </pivotArea>
    </chartFormat>
    <chartFormat chart="0" format="2">
      <pivotArea type="data" outline="0" fieldPosition="0">
        <references count="2">
          <reference field="4294967294" count="1" selected="0">
            <x v="0"/>
          </reference>
          <reference field="24" count="1" selected="0">
            <x v="2"/>
          </reference>
        </references>
      </pivotArea>
    </chartFormat>
    <chartFormat chart="0" format="3">
      <pivotArea type="data" outline="0" fieldPosition="0">
        <references count="2">
          <reference field="4294967294" count="1" selected="0">
            <x v="0"/>
          </reference>
          <reference field="2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24" count="1" selected="0">
            <x v="1"/>
          </reference>
        </references>
      </pivotArea>
    </chartFormat>
    <chartFormat chart="2" format="10">
      <pivotArea type="data" outline="0" fieldPosition="0">
        <references count="2">
          <reference field="4294967294" count="1" selected="0">
            <x v="0"/>
          </reference>
          <reference field="24" count="1" selected="0">
            <x v="3"/>
          </reference>
        </references>
      </pivotArea>
    </chartFormat>
    <chartFormat chart="2" format="11">
      <pivotArea type="data" outline="0" fieldPosition="0">
        <references count="2">
          <reference field="4294967294" count="1" selected="0">
            <x v="0"/>
          </reference>
          <reference field="2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181FC4-415C-467B-90FA-41AA1B8561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K9" firstHeaderRow="1" firstDataRow="1" firstDataCol="0"/>
  <pivotFields count="2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 showAll="0"/>
    <pivotField showAll="0"/>
  </pivotFields>
  <rowItems count="1">
    <i/>
  </rowItems>
  <colItems count="1">
    <i/>
  </colItems>
  <dataFields count="1">
    <dataField name="Count of أسم العميل"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4C3119-C2DC-4940-8ED6-98EE896D9A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 showAll="0"/>
    <pivotField numFmtId="1" showAll="0"/>
    <pivotField showAll="0"/>
    <pivotField showAll="0"/>
    <pivotField showAll="0"/>
    <pivotField showAll="0"/>
  </pivotFields>
  <rowItems count="1">
    <i/>
  </rowItems>
  <colItems count="1">
    <i/>
  </colItems>
  <dataFields count="1">
    <dataField name="Sum of سعر البيع " fld="13" baseField="0" baseItem="0" numFmtId="166"/>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A566D1-07E6-44FF-9618-E71648A4E8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J8:AK12" firstHeaderRow="1" firstDataRow="1" firstDataCol="1"/>
  <pivotFields count="25">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axis="axisRow" showAll="0">
      <items count="5">
        <item x="2"/>
        <item m="1" x="3"/>
        <item x="1"/>
        <item x="0"/>
        <item t="default"/>
      </items>
    </pivotField>
    <pivotField showAll="0"/>
    <pivotField showAll="0"/>
    <pivotField showAll="0"/>
  </pivotFields>
  <rowFields count="1">
    <field x="21"/>
  </rowFields>
  <rowItems count="4">
    <i>
      <x/>
    </i>
    <i>
      <x v="2"/>
    </i>
    <i>
      <x v="3"/>
    </i>
    <i t="grand">
      <x/>
    </i>
  </rowItems>
  <colItems count="1">
    <i/>
  </colItems>
  <dataFields count="1">
    <dataField name="Count of Column1" fld="5" subtotal="count" showDataAs="percentOfTotal" baseField="21" baseItem="0" numFmtId="9"/>
  </dataFields>
  <formats count="1">
    <format dxfId="39">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3"/>
          </reference>
        </references>
      </pivotArea>
    </chartFormat>
    <chartFormat chart="0" format="3">
      <pivotArea type="data" outline="0" fieldPosition="0">
        <references count="2">
          <reference field="4294967294" count="1" selected="0">
            <x v="0"/>
          </reference>
          <reference field="21"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1" count="1" selected="0">
            <x v="0"/>
          </reference>
        </references>
      </pivotArea>
    </chartFormat>
    <chartFormat chart="3" format="10">
      <pivotArea type="data" outline="0" fieldPosition="0">
        <references count="2">
          <reference field="4294967294" count="1" selected="0">
            <x v="0"/>
          </reference>
          <reference field="21" count="1" selected="0">
            <x v="2"/>
          </reference>
        </references>
      </pivotArea>
    </chartFormat>
    <chartFormat chart="3" format="1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4BE80A-DCA8-4BED-9EC5-1945884C32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B15" firstHeaderRow="1" firstDataRow="1" firstDataCol="1"/>
  <pivotFields count="25">
    <pivotField showAll="0"/>
    <pivotField showAll="0"/>
    <pivotField showAll="0"/>
    <pivotField showAll="0"/>
    <pivotField showAll="0"/>
    <pivotField axis="axisRow" dataField="1" showAll="0" sortType="de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 showAll="0"/>
    <pivotField showAll="0"/>
  </pivotFields>
  <rowFields count="1">
    <field x="5"/>
  </rowFields>
  <rowItems count="7">
    <i>
      <x v="2"/>
    </i>
    <i>
      <x v="5"/>
    </i>
    <i>
      <x/>
    </i>
    <i>
      <x v="4"/>
    </i>
    <i>
      <x v="1"/>
    </i>
    <i>
      <x v="3"/>
    </i>
    <i t="grand">
      <x/>
    </i>
  </rowItems>
  <colItems count="1">
    <i/>
  </colItems>
  <dataFields count="1">
    <dataField name="Count of Column1"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A5C7E8-1495-4E63-88A3-0CEBBAD7EF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E8:AF20" firstHeaderRow="1" firstDataRow="1" firstDataCol="1"/>
  <pivotFields count="25">
    <pivotField showAll="0"/>
    <pivotField showAll="0"/>
    <pivotField showAll="0"/>
    <pivotField showAll="0">
      <items count="11">
        <item x="8"/>
        <item x="1"/>
        <item x="3"/>
        <item x="0"/>
        <item x="7"/>
        <item x="5"/>
        <item x="6"/>
        <item x="9"/>
        <item x="2"/>
        <item x="4"/>
        <item t="default"/>
      </items>
    </pivotField>
    <pivotField showAll="0"/>
    <pivotField dataField="1" showAll="0"/>
    <pivotField showAll="0"/>
    <pivotField showAll="0"/>
    <pivotField showAll="0"/>
    <pivotField showAll="0"/>
    <pivotField showAll="0"/>
    <pivotField axis="axisRow" showAll="0" sortType="descending">
      <items count="13">
        <item h="1" x="2"/>
        <item x="0"/>
        <item x="9"/>
        <item x="1"/>
        <item x="7"/>
        <item x="10"/>
        <item x="5"/>
        <item x="8"/>
        <item x="6"/>
        <item x="3"/>
        <item x="1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 showAll="0"/>
    <pivotField numFmtId="1" showAll="0"/>
    <pivotField showAll="0"/>
    <pivotField showAll="0"/>
    <pivotField showAll="0"/>
    <pivotField showAll="0"/>
  </pivotFields>
  <rowFields count="1">
    <field x="11"/>
  </rowFields>
  <rowItems count="12">
    <i>
      <x v="9"/>
    </i>
    <i>
      <x v="3"/>
    </i>
    <i>
      <x v="5"/>
    </i>
    <i>
      <x v="11"/>
    </i>
    <i>
      <x v="4"/>
    </i>
    <i>
      <x v="1"/>
    </i>
    <i>
      <x v="6"/>
    </i>
    <i>
      <x v="7"/>
    </i>
    <i>
      <x v="10"/>
    </i>
    <i>
      <x v="8"/>
    </i>
    <i>
      <x v="2"/>
    </i>
    <i t="grand">
      <x/>
    </i>
  </rowItems>
  <colItems count="1">
    <i/>
  </colItems>
  <dataFields count="1">
    <dataField name="Count of Column1" fld="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36AB31-A780-402B-BE27-B58604B4923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8:V17" firstHeaderRow="1" firstDataRow="1" firstDataCol="1"/>
  <pivotFields count="25">
    <pivotField showAll="0"/>
    <pivotField showAll="0"/>
    <pivotField showAll="0"/>
    <pivotField showAll="0"/>
    <pivotField axis="axisRow" showAll="0" sortType="descending">
      <items count="15">
        <item x="5"/>
        <item m="1" x="10"/>
        <item x="3"/>
        <item m="1" x="9"/>
        <item x="1"/>
        <item m="1" x="8"/>
        <item x="2"/>
        <item m="1" x="11"/>
        <item x="6"/>
        <item m="1" x="13"/>
        <item x="0"/>
        <item m="1" x="12"/>
        <item x="4"/>
        <item x="7"/>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showAll="0"/>
    <pivotField showAll="0"/>
    <pivotField showAll="0"/>
    <pivotField showAll="0"/>
  </pivotFields>
  <rowFields count="1">
    <field x="4"/>
  </rowFields>
  <rowItems count="9">
    <i>
      <x v="10"/>
    </i>
    <i>
      <x v="4"/>
    </i>
    <i>
      <x v="12"/>
    </i>
    <i>
      <x v="2"/>
    </i>
    <i>
      <x/>
    </i>
    <i>
      <x v="6"/>
    </i>
    <i>
      <x v="8"/>
    </i>
    <i>
      <x v="13"/>
    </i>
    <i t="grand">
      <x/>
    </i>
  </rowItems>
  <colItems count="1">
    <i/>
  </colItems>
  <dataFields count="1">
    <dataField name="Count of Column1"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FCF780-585B-4163-8AC6-31AD7200B7B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Z8:AA20" firstHeaderRow="1" firstDataRow="1" firstDataCol="1"/>
  <pivotFields count="25">
    <pivotField showAll="0"/>
    <pivotField showAll="0"/>
    <pivotField showAll="0"/>
    <pivotField showAll="0"/>
    <pivotField showAll="0"/>
    <pivotField dataField="1" showAll="0">
      <items count="7">
        <item x="1"/>
        <item x="3"/>
        <item x="0"/>
        <item x="5"/>
        <item x="4"/>
        <item x="2"/>
        <item t="default"/>
      </items>
    </pivotField>
    <pivotField showAll="0"/>
    <pivotField showAll="0"/>
    <pivotField showAll="0"/>
    <pivotField showAll="0"/>
    <pivotField axis="axisRow" showAll="0" sortType="descending">
      <items count="13">
        <item h="1" x="3"/>
        <item x="0"/>
        <item x="2"/>
        <item x="1"/>
        <item x="7"/>
        <item x="11"/>
        <item x="6"/>
        <item x="9"/>
        <item x="5"/>
        <item x="4"/>
        <item x="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 showAll="0"/>
    <pivotField numFmtId="1" showAll="0"/>
    <pivotField showAll="0"/>
    <pivotField showAll="0"/>
    <pivotField showAll="0"/>
    <pivotField showAll="0">
      <items count="7">
        <item x="4"/>
        <item x="0"/>
        <item x="1"/>
        <item x="2"/>
        <item x="3"/>
        <item x="5"/>
        <item t="default"/>
      </items>
    </pivotField>
  </pivotFields>
  <rowFields count="1">
    <field x="10"/>
  </rowFields>
  <rowItems count="12">
    <i>
      <x v="3"/>
    </i>
    <i>
      <x v="1"/>
    </i>
    <i>
      <x v="9"/>
    </i>
    <i>
      <x v="2"/>
    </i>
    <i>
      <x v="5"/>
    </i>
    <i>
      <x v="7"/>
    </i>
    <i>
      <x v="8"/>
    </i>
    <i>
      <x v="4"/>
    </i>
    <i>
      <x v="6"/>
    </i>
    <i>
      <x v="11"/>
    </i>
    <i>
      <x v="10"/>
    </i>
    <i t="grand">
      <x/>
    </i>
  </rowItems>
  <colItems count="1">
    <i/>
  </colItems>
  <dataFields count="1">
    <dataField name="Count of Column1"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C14D8C-D6EE-40CD-88B0-93D9FD818C1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Y8:AZ11" firstHeaderRow="1" firstDataRow="1" firstDataCol="1"/>
  <pivotFields count="25">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s>
  <rowFields count="1">
    <field x="1"/>
  </rowFields>
  <rowItems count="3">
    <i>
      <x/>
    </i>
    <i>
      <x v="1"/>
    </i>
    <i t="grand">
      <x/>
    </i>
  </rowItems>
  <colItems count="1">
    <i/>
  </colItems>
  <dataFields count="1">
    <dataField name="Count of Column3"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F8C56E-BB2F-4D55-8594-818EA755D57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T8:AU18" firstHeaderRow="1" firstDataRow="1" firstDataCol="1"/>
  <pivotFields count="25">
    <pivotField showAll="0"/>
    <pivotField showAll="0"/>
    <pivotField showAll="0"/>
    <pivotField axis="axisRow" showAll="0" sortType="descending">
      <items count="11">
        <item x="8"/>
        <item x="1"/>
        <item x="3"/>
        <item x="0"/>
        <item x="7"/>
        <item x="5"/>
        <item x="6"/>
        <item x="9"/>
        <item x="2"/>
        <item h="1"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items count="7">
        <item h="1" x="4"/>
        <item x="0"/>
        <item x="1"/>
        <item x="2"/>
        <item x="3"/>
        <item x="5"/>
        <item t="default"/>
      </items>
    </pivotField>
  </pivotFields>
  <rowFields count="1">
    <field x="3"/>
  </rowFields>
  <rowItems count="10">
    <i>
      <x v="5"/>
    </i>
    <i>
      <x v="3"/>
    </i>
    <i>
      <x v="6"/>
    </i>
    <i>
      <x v="4"/>
    </i>
    <i>
      <x v="1"/>
    </i>
    <i>
      <x v="7"/>
    </i>
    <i>
      <x v="2"/>
    </i>
    <i>
      <x v="8"/>
    </i>
    <i>
      <x/>
    </i>
    <i t="grand">
      <x/>
    </i>
  </rowItems>
  <colItems count="1">
    <i/>
  </colItems>
  <dataFields count="1">
    <dataField name="Count of Column1"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دينة" xr10:uid="{AA29A2A7-54EA-4FAF-8CA9-650351C1EA21}" sourceName="المدينة">
  <pivotTables>
    <pivotTable tabId="6" name="PivotTable7"/>
  </pivotTables>
  <data>
    <tabular pivotCacheId="233969256">
      <items count="10">
        <i x="1" s="1"/>
        <i x="3" s="1"/>
        <i x="0" s="1"/>
        <i x="7" s="1"/>
        <i x="5" s="1"/>
        <i x="6" s="1"/>
        <i x="9" s="1"/>
        <i x="4" s="1"/>
        <i x="8"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B378D1A2-B911-4101-AB5A-60DEC5AC1E55}" sourceName="Column1">
  <pivotTables>
    <pivotTable tabId="6" name="PivotTable6"/>
  </pivotTables>
  <data>
    <tabular pivotCacheId="233969256">
      <items count="6">
        <i x="1" s="1"/>
        <i x="0" s="1"/>
        <i x="5" s="1"/>
        <i x="2" s="1"/>
        <i x="3"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ة1" xr10:uid="{B54705CF-D940-496C-B5E2-4C7128C97CB7}" sourceName="الحالة1">
  <pivotTables>
    <pivotTable tabId="6" name="PivotTable6"/>
  </pivotTables>
  <data>
    <tabular pivotCacheId="233969256">
      <items count="6">
        <i x="4" s="1"/>
        <i x="0" s="1"/>
        <i x="1" s="1"/>
        <i x="2" s="1"/>
        <i x="5"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دينة" xr10:uid="{357B44E1-CC5E-4A49-95FC-A6A6E49A10C2}" cache="Slicer_المدينة" caption="المدينة" rowHeight="234950"/>
  <slicer name="Column1" xr10:uid="{F0FE2B32-1AD9-459B-BD55-99F408D5AD12}" cache="Slicer_Column1" caption="Column1" rowHeight="234950"/>
  <slicer name="الحالة1" xr10:uid="{8CC2BB7A-5E40-4E55-BD9E-D3C7C701850C}" cache="Slicer_الحالة1" caption="الحالة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مدينة 1" xr10:uid="{38E258BC-8397-4C2F-B000-533D86A5DBD5}" cache="Slicer_المدينة" caption="المدينة" rowHeight="234950"/>
  <slicer name="Column1 1" xr10:uid="{2CD4CEAD-AE49-44BD-9BCB-10DBDA9DE804}" cache="Slicer_Column1" caption="Column1" rowHeight="234950"/>
  <slicer name="الحالة1 1" xr10:uid="{8F68F08E-5FCD-4EC2-8197-F4D3EB0407DE}" cache="Slicer_الحالة1" caption="الحالة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798A78-3521-436D-9BC5-851ED3CB5E63}" name="table1" displayName="table1" ref="A1:Y127" totalsRowShown="0" headerRowDxfId="36" headerRowBorderDxfId="35" tableBorderDxfId="34">
  <autoFilter ref="A1:Y127" xr:uid="{D2798A78-3521-436D-9BC5-851ED3CB5E63}"/>
  <tableColumns count="25">
    <tableColumn id="4" xr3:uid="{47BE3B96-D330-4BBC-A2D2-F81C95C9CDF8}" name="أسم العميل"/>
    <tableColumn id="22" xr3:uid="{F15DAF27-78C1-4D92-9202-2C5CF008F705}" name="Column3" dataDxfId="33">
      <calculatedColumnFormula>IF(OR(table1[[#This Row],[أسم العميل]]="تاكى",table1[[#This Row],[أسم العميل]]="أوسكار راتن",table1[[#This Row],[أسم العميل]]="شيك هومز"),"شركات","أفراد")</calculatedColumnFormula>
    </tableColumn>
    <tableColumn id="5" xr3:uid="{8A9922D2-A0CD-402D-B813-D91B1A5543A7}" name="العنوان"/>
    <tableColumn id="1" xr3:uid="{AD1FFE34-51FD-4097-8C5F-4D6F46AC80A7}" name="المدينة" dataDxfId="32"/>
    <tableColumn id="6" xr3:uid="{531866FB-239E-4CF3-9FE1-039571685D15}" name="منصة البيع "/>
    <tableColumn id="7" xr3:uid="{329594CA-08DA-45AC-A7F7-910A5361B134}" name="Column1"/>
    <tableColumn id="8" xr3:uid="{990A4B5E-F656-488D-9380-13FEF9368A58}" name="Column2"/>
    <tableColumn id="9" xr3:uid="{662B455F-E61E-4860-B044-7FE4EA33EB21}" name="الاسم"/>
    <tableColumn id="10" xr3:uid="{345D5343-7CAB-45ED-B313-6D190D457227}" name="المقاس"/>
    <tableColumn id="11" xr3:uid="{5C975D49-D925-40FA-B4F8-11E4DAD95CCE}" name="اللون المعدن"/>
    <tableColumn id="21" xr3:uid="{CC39AD82-2AD2-4EFB-A66D-C409B2735480}" name="لون المعدن2"/>
    <tableColumn id="12" xr3:uid="{31B80E94-009E-4D77-9354-4505E90078A0}" name="لون القماش"/>
    <tableColumn id="13" xr3:uid="{D1430ED2-4D5A-4B23-8A5C-34451686BB87}" name="المنتج"/>
    <tableColumn id="14" xr3:uid="{5C7E7829-EAB2-4268-9FAB-15FA3FD2CCF4}" name="سعر البيع "/>
    <tableColumn id="15" xr3:uid="{BACF5005-30BE-47C9-AAC1-9BDF38012149}" name="طريقه الدفع "/>
    <tableColumn id="16" xr3:uid="{E2B28B8B-CFBC-439F-8D85-DC762E0967F1}" name="ميعاد الطلب" dataDxfId="31"/>
    <tableColumn id="17" xr3:uid="{1A1B1E1B-A2CA-408E-8E56-91ED4C4CCBF5}" name="ميعاد التسليم" dataDxfId="30"/>
    <tableColumn id="18" xr3:uid="{E1959E39-8CB9-4EDA-BBF2-E00B29924D1E}" name="تاريخ التسليم" dataDxfId="29"/>
    <tableColumn id="2" xr3:uid="{5929C7DE-15D3-4F6B-BAA3-355C82794866}" name="عدد أيام التسليم الأصلى" dataDxfId="28">
      <calculatedColumnFormula>IF(OR(ISBLANK(table1[[#This Row],[ميعاد الطلب]]),ISBLANK(table1[[#This Row],[ميعاد التسليم]])),0,table1[[#This Row],[ميعاد التسليم]]-table1[[#This Row],[ميعاد الطلب]])</calculatedColumnFormula>
    </tableColumn>
    <tableColumn id="3" xr3:uid="{2BEEC7D8-2A51-4F7A-9B83-7976B7B93352}" name="عدد أيام التسليم الفعلى" dataDxfId="27">
      <calculatedColumnFormula>IF(OR(ISBLANK(table1[[#This Row],[تاريخ التسليم]]),ISBLANK(table1[[#This Row],[ميعاد الطلب]]),ISBLANK(table1[[#This Row],[ميعاد التسليم]])),0,table1[[#This Row],[تاريخ التسليم]]-table1[[#This Row],[ميعاد الطلب]])</calculatedColumnFormula>
    </tableColumn>
    <tableColumn id="23" xr3:uid="{FF4D0B8C-46CD-415E-BA7A-7DA012D5025D}" name="Column4" dataDxfId="26"/>
    <tableColumn id="25" xr3:uid="{2CA249B4-2C38-4756-B217-A70D4BD8A8D0}" name="Column5" dataDxfId="25">
      <calculatedColumnFormula array="1">_xlfn.IFS(OR(table1[[#This Row],[Column4]]=0,table1[[#This Row],[Column4]]="0"),"لا يوجد تاريخ", table1[[#This Row],[Column4]]&gt;0,"تم التسليم قبل الموعد",table1[[#This Row],[Column4]]&lt;0,"تم التسليم بعد الموعد")</calculatedColumnFormula>
    </tableColumn>
    <tableColumn id="19" xr3:uid="{5F8B0FDB-1F35-4B52-9FA7-8035B2A836D7}" name="المسئول عن التسليم"/>
    <tableColumn id="20" xr3:uid="{064C9CE2-4190-4BB6-8764-5128D762D8E3}" name="الحالة"/>
    <tableColumn id="26" xr3:uid="{8FF09841-496F-49DE-A608-039A5C21E43D}" name="الحالة1" dataDxfId="24">
      <calculatedColumnFormula>TRIM(table1[[#This Row],[الحالة]])</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E7BCED-47CB-49FB-8CE9-A7CAADBF39ED}" name="Table13" displayName="Table13" ref="A1:T127" totalsRowShown="0" headerRowDxfId="23" dataDxfId="21" headerRowBorderDxfId="22" tableBorderDxfId="20">
  <autoFilter ref="A1:T127" xr:uid="{D2798A78-3521-436D-9BC5-851ED3CB5E63}"/>
  <tableColumns count="20">
    <tableColumn id="1" xr3:uid="{FD247F19-3F27-4CA0-9CA6-2E9AA3AA1742}" name="م" dataDxfId="19"/>
    <tableColumn id="2" xr3:uid="{DAB48EC6-2FC2-4A35-A444-EC1023EC1CD3}" name="رقم العملية" dataDxfId="18"/>
    <tableColumn id="3" xr3:uid="{BF828010-5F19-4960-BCCB-205E4D600EF9}" name="رقم الطلب" dataDxfId="17"/>
    <tableColumn id="4" xr3:uid="{6DA41A06-DBA1-48DF-B696-C418EF2EED33}" name="أسم العميل" dataDxfId="16"/>
    <tableColumn id="5" xr3:uid="{E02AFA9F-2EC2-43DD-8E57-ED4EB998289B}" name="العنوان" dataDxfId="15"/>
    <tableColumn id="6" xr3:uid="{6B9A063D-E81A-4EF1-87F1-A3F2C37C7C6D}" name="منصة البيع " dataDxfId="14"/>
    <tableColumn id="7" xr3:uid="{920D3B12-BA5A-4719-83B9-7E478E5E1089}" name="Column1" dataDxfId="13"/>
    <tableColumn id="8" xr3:uid="{23A4FAD1-6646-4642-BA77-89503AB72E3D}" name="Column2" dataDxfId="12"/>
    <tableColumn id="9" xr3:uid="{9CBE18CC-4213-4221-AF52-796CBE6DDE09}" name="الاسم" dataDxfId="11"/>
    <tableColumn id="10" xr3:uid="{AE2B86EC-688E-475E-A55A-DF8950997F48}" name="المقاس" dataDxfId="10"/>
    <tableColumn id="11" xr3:uid="{9536C914-4BBB-4072-88C4-80DBFDF841F8}" name="اللون المعدن" dataDxfId="9"/>
    <tableColumn id="12" xr3:uid="{636FFDB4-9D38-46BA-8537-71742E623A31}" name="لون القماش" dataDxfId="8"/>
    <tableColumn id="13" xr3:uid="{A677E1D6-CC68-4B08-B2E7-C2E26D1C60C8}" name="المنتج" dataDxfId="7"/>
    <tableColumn id="14" xr3:uid="{0232CDCC-4B68-4890-A326-A9A0B4B234CD}" name="سعر البيع " dataDxfId="6"/>
    <tableColumn id="15" xr3:uid="{DD47A556-C9C3-42BA-9081-C1C0F0A96FAD}" name="طريقه الدفع " dataDxfId="5"/>
    <tableColumn id="16" xr3:uid="{558AED21-947F-44E1-A22B-D361F99B2520}" name="ميعاد الطلب" dataDxfId="4"/>
    <tableColumn id="17" xr3:uid="{D2B3BA66-33AC-4DFC-961B-54EDC6B035A5}" name="ميعاد التسليم" dataDxfId="3"/>
    <tableColumn id="18" xr3:uid="{D4AAE650-7808-427B-9274-A01097D07DD3}" name="تاريخ التسليم" dataDxfId="2"/>
    <tableColumn id="19" xr3:uid="{E7A43F4D-8207-41F0-A02B-7E46F1B0AD90}" name="المسئول عن التسليم" dataDxfId="1"/>
    <tableColumn id="20" xr3:uid="{B0DF1866-4DF9-439B-B6C2-C0437A111DEF}" name="الحال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DEE45-E9D7-4D2C-B86A-99E0DABE7FC2}">
  <dimension ref="A1:E16"/>
  <sheetViews>
    <sheetView showGridLines="0" rightToLeft="1" workbookViewId="0">
      <selection activeCell="E14" sqref="E14:E16"/>
    </sheetView>
  </sheetViews>
  <sheetFormatPr defaultRowHeight="14.4" x14ac:dyDescent="0.3"/>
  <cols>
    <col min="2" max="2" width="41.88671875" customWidth="1"/>
  </cols>
  <sheetData>
    <row r="1" spans="1:5" x14ac:dyDescent="0.3">
      <c r="A1" s="18"/>
      <c r="B1" s="18"/>
    </row>
    <row r="2" spans="1:5" x14ac:dyDescent="0.3">
      <c r="A2" s="18"/>
      <c r="B2" s="18"/>
    </row>
    <row r="3" spans="1:5" s="16" customFormat="1" ht="24.6" x14ac:dyDescent="0.4">
      <c r="A3" s="16" t="s">
        <v>325</v>
      </c>
    </row>
    <row r="4" spans="1:5" s="17" customFormat="1" ht="18" x14ac:dyDescent="0.35">
      <c r="A4" s="20" t="s">
        <v>318</v>
      </c>
      <c r="B4" s="20"/>
      <c r="E4" s="70" t="s">
        <v>364</v>
      </c>
    </row>
    <row r="5" spans="1:5" s="13" customFormat="1" x14ac:dyDescent="0.3">
      <c r="A5" s="21"/>
      <c r="B5" s="21"/>
    </row>
    <row r="6" spans="1:5" s="15" customFormat="1" ht="17.399999999999999" x14ac:dyDescent="0.3">
      <c r="A6" s="15" t="s">
        <v>324</v>
      </c>
    </row>
    <row r="7" spans="1:5" s="14" customFormat="1" ht="15.6" x14ac:dyDescent="0.3">
      <c r="A7" s="22" t="s">
        <v>319</v>
      </c>
      <c r="B7" s="19"/>
      <c r="C7" s="70" t="s">
        <v>364</v>
      </c>
      <c r="E7" s="70" t="s">
        <v>364</v>
      </c>
    </row>
    <row r="8" spans="1:5" s="14" customFormat="1" ht="15.6" x14ac:dyDescent="0.3">
      <c r="A8" s="19" t="s">
        <v>320</v>
      </c>
      <c r="B8" s="19"/>
      <c r="C8" s="70" t="s">
        <v>364</v>
      </c>
      <c r="E8" s="70" t="s">
        <v>364</v>
      </c>
    </row>
    <row r="9" spans="1:5" s="14" customFormat="1" ht="15.6" x14ac:dyDescent="0.3">
      <c r="A9" s="19" t="s">
        <v>321</v>
      </c>
      <c r="B9" s="19"/>
      <c r="C9" s="70" t="s">
        <v>364</v>
      </c>
      <c r="E9" s="70" t="s">
        <v>364</v>
      </c>
    </row>
    <row r="10" spans="1:5" s="14" customFormat="1" ht="15.6" x14ac:dyDescent="0.3">
      <c r="A10" s="19" t="s">
        <v>322</v>
      </c>
      <c r="B10" s="19"/>
      <c r="C10" s="70" t="s">
        <v>364</v>
      </c>
      <c r="E10" s="70" t="s">
        <v>364</v>
      </c>
    </row>
    <row r="11" spans="1:5" s="19" customFormat="1" ht="15.6" x14ac:dyDescent="0.3">
      <c r="A11" s="19" t="s">
        <v>326</v>
      </c>
      <c r="C11" s="70" t="s">
        <v>364</v>
      </c>
      <c r="E11" s="70" t="s">
        <v>364</v>
      </c>
    </row>
    <row r="12" spans="1:5" s="14" customFormat="1" ht="15.6" x14ac:dyDescent="0.3">
      <c r="A12" s="19" t="s">
        <v>327</v>
      </c>
      <c r="B12" s="19"/>
      <c r="C12" s="70" t="s">
        <v>364</v>
      </c>
      <c r="E12" s="70" t="s">
        <v>364</v>
      </c>
    </row>
    <row r="13" spans="1:5" s="14" customFormat="1" ht="15.6" x14ac:dyDescent="0.3">
      <c r="A13" s="19" t="s">
        <v>323</v>
      </c>
      <c r="B13" s="19"/>
      <c r="C13" s="70" t="s">
        <v>364</v>
      </c>
      <c r="E13" s="70" t="s">
        <v>364</v>
      </c>
    </row>
    <row r="14" spans="1:5" s="14" customFormat="1" ht="15.6" x14ac:dyDescent="0.3">
      <c r="A14" s="19" t="s">
        <v>330</v>
      </c>
      <c r="B14" s="19"/>
      <c r="C14" s="70" t="s">
        <v>364</v>
      </c>
      <c r="E14" s="70" t="s">
        <v>364</v>
      </c>
    </row>
    <row r="15" spans="1:5" s="14" customFormat="1" ht="15.6" x14ac:dyDescent="0.3">
      <c r="A15" s="19" t="s">
        <v>328</v>
      </c>
      <c r="B15" s="19"/>
      <c r="C15" s="70" t="s">
        <v>364</v>
      </c>
      <c r="E15" s="70" t="s">
        <v>364</v>
      </c>
    </row>
    <row r="16" spans="1:5" ht="15.6" x14ac:dyDescent="0.3">
      <c r="A16" s="19" t="s">
        <v>329</v>
      </c>
      <c r="C16" s="70" t="s">
        <v>364</v>
      </c>
      <c r="E16" s="70" t="s">
        <v>364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40"/>
  <sheetViews>
    <sheetView zoomScaleNormal="100" workbookViewId="0">
      <selection activeCell="A2" sqref="A2:Y127"/>
    </sheetView>
  </sheetViews>
  <sheetFormatPr defaultColWidth="8.88671875" defaultRowHeight="14.4" x14ac:dyDescent="0.3"/>
  <cols>
    <col min="1" max="1" width="15.44140625" style="26" bestFit="1" customWidth="1"/>
    <col min="2" max="2" width="16.33203125" style="26" customWidth="1"/>
    <col min="3" max="3" width="30.88671875" style="26" bestFit="1" customWidth="1"/>
    <col min="4" max="4" width="34.109375" style="26" bestFit="1" customWidth="1"/>
    <col min="5" max="5" width="16.109375" style="26" bestFit="1" customWidth="1"/>
    <col min="6" max="6" width="21.21875" style="26" customWidth="1"/>
    <col min="7" max="7" width="16.109375" style="26" customWidth="1"/>
    <col min="8" max="8" width="11.88671875" style="26" bestFit="1" customWidth="1"/>
    <col min="9" max="9" width="13" style="26" bestFit="1" customWidth="1"/>
    <col min="10" max="10" width="17.109375" style="26" bestFit="1" customWidth="1"/>
    <col min="11" max="11" width="16.109375" style="26" bestFit="1" customWidth="1"/>
    <col min="12" max="12" width="14.44140625" style="26" bestFit="1" customWidth="1"/>
    <col min="13" max="13" width="15" style="26" bestFit="1" customWidth="1"/>
    <col min="14" max="14" width="17.21875" style="27" bestFit="1" customWidth="1"/>
    <col min="15" max="15" width="16.77734375" style="26" bestFit="1" customWidth="1"/>
    <col min="16" max="16" width="17.5546875" style="26" bestFit="1" customWidth="1"/>
    <col min="17" max="17" width="23.88671875" style="26" bestFit="1" customWidth="1"/>
    <col min="18" max="19" width="23.88671875" style="26" customWidth="1"/>
    <col min="20" max="20" width="20.77734375" style="26" customWidth="1"/>
    <col min="21" max="22" width="20.77734375" style="1" customWidth="1"/>
    <col min="23" max="23" width="20.77734375" style="26" customWidth="1"/>
    <col min="24" max="24" width="22.77734375" style="28" bestFit="1" customWidth="1"/>
    <col min="25" max="16384" width="8.88671875" style="1"/>
  </cols>
  <sheetData>
    <row r="1" spans="1:25" ht="20.100000000000001" customHeight="1" x14ac:dyDescent="0.3">
      <c r="A1" s="51" t="s">
        <v>0</v>
      </c>
      <c r="B1" s="51" t="s">
        <v>335</v>
      </c>
      <c r="C1" s="51" t="s">
        <v>1</v>
      </c>
      <c r="D1" s="51" t="s">
        <v>336</v>
      </c>
      <c r="E1" s="51" t="s">
        <v>6</v>
      </c>
      <c r="F1" s="51" t="s">
        <v>331</v>
      </c>
      <c r="G1" s="51" t="s">
        <v>332</v>
      </c>
      <c r="H1" s="51" t="s">
        <v>172</v>
      </c>
      <c r="I1" s="51" t="s">
        <v>173</v>
      </c>
      <c r="J1" s="51" t="s">
        <v>177</v>
      </c>
      <c r="K1" s="51" t="s">
        <v>422</v>
      </c>
      <c r="L1" s="51" t="s">
        <v>178</v>
      </c>
      <c r="M1" s="50" t="s">
        <v>2</v>
      </c>
      <c r="N1" s="51" t="s">
        <v>8</v>
      </c>
      <c r="O1" s="52" t="s">
        <v>9</v>
      </c>
      <c r="P1" s="51" t="s">
        <v>11</v>
      </c>
      <c r="Q1" s="51" t="s">
        <v>10</v>
      </c>
      <c r="R1" s="51" t="s">
        <v>3</v>
      </c>
      <c r="S1" s="51" t="s">
        <v>365</v>
      </c>
      <c r="T1" s="51" t="s">
        <v>366</v>
      </c>
      <c r="U1" s="79" t="s">
        <v>421</v>
      </c>
      <c r="V1" s="79" t="s">
        <v>425</v>
      </c>
      <c r="W1" s="51" t="s">
        <v>4</v>
      </c>
      <c r="X1" s="53" t="s">
        <v>188</v>
      </c>
      <c r="Y1" s="51" t="s">
        <v>432</v>
      </c>
    </row>
    <row r="2" spans="1:25" ht="20.100000000000001" customHeight="1" x14ac:dyDescent="0.3">
      <c r="A2" t="s">
        <v>379</v>
      </c>
      <c r="B2" t="str">
        <f>IF(OR(table1[[#This Row],[أسم العميل]]="تاكى",table1[[#This Row],[أسم العميل]]="أوسكار راتن",table1[[#This Row],[أسم العميل]]="شيك هومز"),"شركات","أفراد")</f>
        <v>أفراد</v>
      </c>
      <c r="C2" t="s">
        <v>13</v>
      </c>
      <c r="D2" t="s">
        <v>339</v>
      </c>
      <c r="E2" t="s">
        <v>7</v>
      </c>
      <c r="F2" t="s">
        <v>148</v>
      </c>
      <c r="G2" t="s">
        <v>149</v>
      </c>
      <c r="H2"/>
      <c r="I2"/>
      <c r="J2" t="s">
        <v>333</v>
      </c>
      <c r="K2" t="s">
        <v>333</v>
      </c>
      <c r="L2" t="s">
        <v>333</v>
      </c>
      <c r="M2" t="s">
        <v>14</v>
      </c>
      <c r="N2">
        <v>10160</v>
      </c>
      <c r="O2" t="s">
        <v>15</v>
      </c>
      <c r="P2" s="68">
        <v>45500</v>
      </c>
      <c r="Q2" s="67"/>
      <c r="R2" s="67">
        <v>45514</v>
      </c>
      <c r="S2" s="71">
        <f>IF(OR(ISBLANK(table1[[#This Row],[ميعاد الطلب]]),ISBLANK(table1[[#This Row],[ميعاد التسليم]])),0,table1[[#This Row],[ميعاد التسليم]]-table1[[#This Row],[ميعاد الطلب]])</f>
        <v>0</v>
      </c>
      <c r="T2" s="71">
        <f>IF(OR(ISBLANK(table1[[#This Row],[تاريخ التسليم]]),ISBLANK(table1[[#This Row],[ميعاد الطلب]]),ISBLANK(table1[[#This Row],[ميعاد التسليم]])),0,table1[[#This Row],[تاريخ التسليم]]-table1[[#This Row],[ميعاد الطلب]])</f>
        <v>0</v>
      </c>
      <c r="U2" s="80" t="s">
        <v>429</v>
      </c>
      <c r="V2" s="80" t="str" cm="1">
        <f t="array" ref="V2">_xlfn.IFS(OR(table1[[#This Row],[Column4]]=0,table1[[#This Row],[Column4]]="0"),"لا يوجد تاريخ", table1[[#This Row],[Column4]]&gt;0,"تم التسليم قبل الموعد",table1[[#This Row],[Column4]]&lt;0,"تم التسليم بعد الموعد")</f>
        <v>لا يوجد تاريخ</v>
      </c>
      <c r="W2" t="s">
        <v>27</v>
      </c>
      <c r="X2" t="s">
        <v>196</v>
      </c>
      <c r="Y2" s="1" t="str">
        <f>TRIM(table1[[#This Row],[الحالة]])</f>
        <v>تم التسليم</v>
      </c>
    </row>
    <row r="3" spans="1:25" ht="20.100000000000001" customHeight="1" x14ac:dyDescent="0.3">
      <c r="A3" t="s">
        <v>17</v>
      </c>
      <c r="B3" t="str">
        <f>IF(OR(table1[[#This Row],[أسم العميل]]="تاكى",table1[[#This Row],[أسم العميل]]="أوسكار راتن",table1[[#This Row],[أسم العميل]]="شيك هومز"),"شركات","أفراد")</f>
        <v>أفراد</v>
      </c>
      <c r="C3" t="s">
        <v>18</v>
      </c>
      <c r="D3" t="s">
        <v>340</v>
      </c>
      <c r="E3" t="s">
        <v>7</v>
      </c>
      <c r="F3" t="s">
        <v>148</v>
      </c>
      <c r="G3" t="s">
        <v>149</v>
      </c>
      <c r="H3"/>
      <c r="I3"/>
      <c r="J3" t="s">
        <v>334</v>
      </c>
      <c r="K3" t="s">
        <v>334</v>
      </c>
      <c r="L3" t="s">
        <v>334</v>
      </c>
      <c r="M3" t="s">
        <v>19</v>
      </c>
      <c r="N3">
        <v>10160</v>
      </c>
      <c r="O3">
        <v>9749</v>
      </c>
      <c r="P3" s="68">
        <v>45501</v>
      </c>
      <c r="Q3" s="67"/>
      <c r="R3" s="67">
        <v>45515</v>
      </c>
      <c r="S3" s="71">
        <f>IF(OR(ISBLANK(table1[[#This Row],[ميعاد الطلب]]),ISBLANK(table1[[#This Row],[ميعاد التسليم]])),0,table1[[#This Row],[ميعاد التسليم]]-table1[[#This Row],[ميعاد الطلب]])</f>
        <v>0</v>
      </c>
      <c r="T3" s="71">
        <f>IF(OR(ISBLANK(table1[[#This Row],[تاريخ التسليم]]),ISBLANK(table1[[#This Row],[ميعاد الطلب]]),ISBLANK(table1[[#This Row],[ميعاد التسليم]])),0,table1[[#This Row],[تاريخ التسليم]]-table1[[#This Row],[ميعاد الطلب]])</f>
        <v>0</v>
      </c>
      <c r="U3" s="80" t="s">
        <v>429</v>
      </c>
      <c r="V3" s="80" t="str" cm="1">
        <f t="array" ref="V3">_xlfn.IFS(OR(table1[[#This Row],[Column4]]=0,table1[[#This Row],[Column4]]="0"),"لا يوجد تاريخ", table1[[#This Row],[Column4]]&gt;0,"تم التسليم قبل الموعد",table1[[#This Row],[Column4]]&lt;0,"تم التسليم بعد الموعد")</f>
        <v>لا يوجد تاريخ</v>
      </c>
      <c r="W3" t="s">
        <v>27</v>
      </c>
      <c r="X3" t="s">
        <v>196</v>
      </c>
      <c r="Y3" s="1" t="str">
        <f>TRIM(table1[[#This Row],[الحالة]])</f>
        <v>تم التسليم</v>
      </c>
    </row>
    <row r="4" spans="1:25" ht="20.100000000000001" customHeight="1" x14ac:dyDescent="0.3">
      <c r="A4" t="s">
        <v>21</v>
      </c>
      <c r="B4" t="str">
        <f>IF(OR(table1[[#This Row],[أسم العميل]]="تاكى",table1[[#This Row],[أسم العميل]]="أوسكار راتن",table1[[#This Row],[أسم العميل]]="شيك هومز"),"شركات","أفراد")</f>
        <v>أفراد</v>
      </c>
      <c r="C4" t="s">
        <v>341</v>
      </c>
      <c r="D4" t="s">
        <v>342</v>
      </c>
      <c r="E4" t="s">
        <v>7</v>
      </c>
      <c r="F4" t="s">
        <v>148</v>
      </c>
      <c r="G4" t="s">
        <v>163</v>
      </c>
      <c r="H4" t="s">
        <v>153</v>
      </c>
      <c r="I4">
        <v>90</v>
      </c>
      <c r="J4" t="s">
        <v>168</v>
      </c>
      <c r="K4" t="s">
        <v>168</v>
      </c>
      <c r="L4" t="s">
        <v>419</v>
      </c>
      <c r="M4" t="s">
        <v>23</v>
      </c>
      <c r="N4">
        <v>11455</v>
      </c>
      <c r="O4">
        <v>10067.68</v>
      </c>
      <c r="P4" s="68">
        <v>45500</v>
      </c>
      <c r="Q4" s="67"/>
      <c r="R4" s="67"/>
      <c r="S4" s="71">
        <f>IF(OR(ISBLANK(table1[[#This Row],[ميعاد الطلب]]),ISBLANK(table1[[#This Row],[ميعاد التسليم]])),0,table1[[#This Row],[ميعاد التسليم]]-table1[[#This Row],[ميعاد الطلب]])</f>
        <v>0</v>
      </c>
      <c r="T4" s="71">
        <f>IF(OR(ISBLANK(table1[[#This Row],[تاريخ التسليم]]),ISBLANK(table1[[#This Row],[ميعاد الطلب]]),ISBLANK(table1[[#This Row],[ميعاد التسليم]])),0,table1[[#This Row],[تاريخ التسليم]]-table1[[#This Row],[ميعاد الطلب]])</f>
        <v>0</v>
      </c>
      <c r="U4" s="80" t="s">
        <v>429</v>
      </c>
      <c r="V4" s="80" t="str" cm="1">
        <f t="array" ref="V4">_xlfn.IFS(OR(table1[[#This Row],[Column4]]=0,table1[[#This Row],[Column4]]="0"),"لا يوجد تاريخ", table1[[#This Row],[Column4]]&gt;0,"تم التسليم قبل الموعد",table1[[#This Row],[Column4]]&lt;0,"تم التسليم بعد الموعد")</f>
        <v>لا يوجد تاريخ</v>
      </c>
      <c r="W4" t="s">
        <v>36</v>
      </c>
      <c r="X4" t="s">
        <v>190</v>
      </c>
      <c r="Y4" s="1" t="str">
        <f>TRIM(table1[[#This Row],[الحالة]])</f>
        <v>فشل التسليم</v>
      </c>
    </row>
    <row r="5" spans="1:25" ht="20.100000000000001" customHeight="1" x14ac:dyDescent="0.3">
      <c r="A5" t="s">
        <v>24</v>
      </c>
      <c r="B5" t="str">
        <f>IF(OR(table1[[#This Row],[أسم العميل]]="تاكى",table1[[#This Row],[أسم العميل]]="أوسكار راتن",table1[[#This Row],[أسم العميل]]="شيك هومز"),"شركات","أفراد")</f>
        <v>أفراد</v>
      </c>
      <c r="C5" t="s">
        <v>115</v>
      </c>
      <c r="D5" t="s">
        <v>343</v>
      </c>
      <c r="E5" t="s">
        <v>7</v>
      </c>
      <c r="F5" t="s">
        <v>155</v>
      </c>
      <c r="G5"/>
      <c r="H5"/>
      <c r="I5"/>
      <c r="J5" t="s">
        <v>419</v>
      </c>
      <c r="K5" t="s">
        <v>419</v>
      </c>
      <c r="L5" t="s">
        <v>419</v>
      </c>
      <c r="M5" t="s">
        <v>26</v>
      </c>
      <c r="N5">
        <v>8642</v>
      </c>
      <c r="O5" t="s">
        <v>15</v>
      </c>
      <c r="P5" s="68">
        <v>45529</v>
      </c>
      <c r="Q5" s="67">
        <v>45542</v>
      </c>
      <c r="R5" s="67">
        <v>45531</v>
      </c>
      <c r="S5" s="71">
        <f>IF(OR(ISBLANK(table1[[#This Row],[ميعاد الطلب]]),ISBLANK(table1[[#This Row],[ميعاد التسليم]])),0,table1[[#This Row],[ميعاد التسليم]]-table1[[#This Row],[ميعاد الطلب]])</f>
        <v>13</v>
      </c>
      <c r="T5" s="71">
        <f>IF(OR(ISBLANK(table1[[#This Row],[تاريخ التسليم]]),ISBLANK(table1[[#This Row],[ميعاد الطلب]]),ISBLANK(table1[[#This Row],[ميعاد التسليم]])),0,table1[[#This Row],[تاريخ التسليم]]-table1[[#This Row],[ميعاد الطلب]])</f>
        <v>2</v>
      </c>
      <c r="U5" s="80">
        <v>11</v>
      </c>
      <c r="V5" s="80" t="str" cm="1">
        <f t="array" ref="V5">_xlfn.IFS(OR(table1[[#This Row],[Column4]]=0,table1[[#This Row],[Column4]]="0"),"لا يوجد تاريخ", table1[[#This Row],[Column4]]&gt;0,"تم التسليم قبل الموعد",table1[[#This Row],[Column4]]&lt;0,"تم التسليم بعد الموعد")</f>
        <v>تم التسليم قبل الموعد</v>
      </c>
      <c r="W5" t="s">
        <v>27</v>
      </c>
      <c r="X5" t="s">
        <v>196</v>
      </c>
      <c r="Y5" s="1" t="str">
        <f>TRIM(table1[[#This Row],[الحالة]])</f>
        <v>تم التسليم</v>
      </c>
    </row>
    <row r="6" spans="1:25" ht="20.100000000000001" customHeight="1" x14ac:dyDescent="0.3">
      <c r="A6" t="s">
        <v>380</v>
      </c>
      <c r="B6" t="str">
        <f>IF(OR(table1[[#This Row],[أسم العميل]]="تاكى",table1[[#This Row],[أسم العميل]]="أوسكار راتن",table1[[#This Row],[أسم العميل]]="شيك هومز"),"شركات","أفراد")</f>
        <v>أفراد</v>
      </c>
      <c r="C6" t="s">
        <v>341</v>
      </c>
      <c r="D6" t="s">
        <v>342</v>
      </c>
      <c r="E6" t="s">
        <v>7</v>
      </c>
      <c r="F6" t="s">
        <v>148</v>
      </c>
      <c r="G6" t="s">
        <v>163</v>
      </c>
      <c r="H6" t="s">
        <v>150</v>
      </c>
      <c r="I6">
        <v>100</v>
      </c>
      <c r="J6" t="s">
        <v>170</v>
      </c>
      <c r="K6" t="s">
        <v>170</v>
      </c>
      <c r="L6" t="s">
        <v>419</v>
      </c>
      <c r="M6" t="s">
        <v>29</v>
      </c>
      <c r="N6">
        <v>12833</v>
      </c>
      <c r="O6">
        <v>12974.22</v>
      </c>
      <c r="P6" s="68">
        <v>45520</v>
      </c>
      <c r="Q6" s="67">
        <v>45535</v>
      </c>
      <c r="R6" s="67"/>
      <c r="S6" s="71">
        <f>IF(OR(ISBLANK(table1[[#This Row],[ميعاد الطلب]]),ISBLANK(table1[[#This Row],[ميعاد التسليم]])),0,table1[[#This Row],[ميعاد التسليم]]-table1[[#This Row],[ميعاد الطلب]])</f>
        <v>15</v>
      </c>
      <c r="T6" s="71">
        <f>IF(OR(ISBLANK(table1[[#This Row],[تاريخ التسليم]]),ISBLANK(table1[[#This Row],[ميعاد الطلب]]),ISBLANK(table1[[#This Row],[ميعاد التسليم]])),0,table1[[#This Row],[تاريخ التسليم]]-table1[[#This Row],[ميعاد الطلب]])</f>
        <v>0</v>
      </c>
      <c r="U6" s="80" t="s">
        <v>429</v>
      </c>
      <c r="V6" s="80" t="str" cm="1">
        <f t="array" ref="V6">_xlfn.IFS(OR(table1[[#This Row],[Column4]]=0,table1[[#This Row],[Column4]]="0"),"لا يوجد تاريخ", table1[[#This Row],[Column4]]&gt;0,"تم التسليم قبل الموعد",table1[[#This Row],[Column4]]&lt;0,"تم التسليم بعد الموعد")</f>
        <v>لا يوجد تاريخ</v>
      </c>
      <c r="W6" t="s">
        <v>36</v>
      </c>
      <c r="X6" t="s">
        <v>190</v>
      </c>
      <c r="Y6" s="1" t="str">
        <f>TRIM(table1[[#This Row],[الحالة]])</f>
        <v>فشل التسليم</v>
      </c>
    </row>
    <row r="7" spans="1:25" ht="20.100000000000001" customHeight="1" x14ac:dyDescent="0.3">
      <c r="A7" t="s">
        <v>51</v>
      </c>
      <c r="B7" t="str">
        <f>IF(OR(table1[[#This Row],[أسم العميل]]="تاكى",table1[[#This Row],[أسم العميل]]="أوسكار راتن",table1[[#This Row],[أسم العميل]]="شيك هومز"),"شركات","أفراد")</f>
        <v>شركات</v>
      </c>
      <c r="C7"/>
      <c r="D7" t="e">
        <v>#N/A</v>
      </c>
      <c r="E7" t="s">
        <v>51</v>
      </c>
      <c r="F7" t="s">
        <v>159</v>
      </c>
      <c r="G7" t="s">
        <v>162</v>
      </c>
      <c r="H7"/>
      <c r="I7"/>
      <c r="J7" t="s">
        <v>419</v>
      </c>
      <c r="K7" t="s">
        <v>419</v>
      </c>
      <c r="L7" t="s">
        <v>170</v>
      </c>
      <c r="M7" t="s">
        <v>31</v>
      </c>
      <c r="N7">
        <v>14550</v>
      </c>
      <c r="O7" t="s">
        <v>15</v>
      </c>
      <c r="P7" s="68">
        <v>45518</v>
      </c>
      <c r="Q7" s="67">
        <v>45538</v>
      </c>
      <c r="R7" s="67">
        <v>45540</v>
      </c>
      <c r="S7" s="71">
        <f>IF(OR(ISBLANK(table1[[#This Row],[ميعاد الطلب]]),ISBLANK(table1[[#This Row],[ميعاد التسليم]])),0,table1[[#This Row],[ميعاد التسليم]]-table1[[#This Row],[ميعاد الطلب]])</f>
        <v>20</v>
      </c>
      <c r="T7" s="71">
        <f>IF(OR(ISBLANK(table1[[#This Row],[تاريخ التسليم]]),ISBLANK(table1[[#This Row],[ميعاد الطلب]]),ISBLANK(table1[[#This Row],[ميعاد التسليم]])),0,table1[[#This Row],[تاريخ التسليم]]-table1[[#This Row],[ميعاد الطلب]])</f>
        <v>22</v>
      </c>
      <c r="U7" s="80">
        <v>-2</v>
      </c>
      <c r="V7" s="80" t="str" cm="1">
        <f t="array" ref="V7">_xlfn.IFS(OR(table1[[#This Row],[Column4]]=0,table1[[#This Row],[Column4]]="0"),"لا يوجد تاريخ", table1[[#This Row],[Column4]]&gt;0,"تم التسليم قبل الموعد",table1[[#This Row],[Column4]]&lt;0,"تم التسليم بعد الموعد")</f>
        <v>تم التسليم بعد الموعد</v>
      </c>
      <c r="W7" t="s">
        <v>27</v>
      </c>
      <c r="X7" t="s">
        <v>196</v>
      </c>
      <c r="Y7" s="1" t="str">
        <f>TRIM(table1[[#This Row],[الحالة]])</f>
        <v>تم التسليم</v>
      </c>
    </row>
    <row r="8" spans="1:25" ht="20.100000000000001" customHeight="1" x14ac:dyDescent="0.3">
      <c r="A8" t="s">
        <v>381</v>
      </c>
      <c r="B8" t="str">
        <f>IF(OR(table1[[#This Row],[أسم العميل]]="تاكى",table1[[#This Row],[أسم العميل]]="أوسكار راتن",table1[[#This Row],[أسم العميل]]="شيك هومز"),"شركات","أفراد")</f>
        <v>أفراد</v>
      </c>
      <c r="C8" t="s">
        <v>33</v>
      </c>
      <c r="D8" t="s">
        <v>344</v>
      </c>
      <c r="E8" t="s">
        <v>34</v>
      </c>
      <c r="F8" t="s">
        <v>159</v>
      </c>
      <c r="G8" t="s">
        <v>162</v>
      </c>
      <c r="H8"/>
      <c r="I8"/>
      <c r="J8" t="s">
        <v>419</v>
      </c>
      <c r="K8" t="s">
        <v>419</v>
      </c>
      <c r="L8" t="s">
        <v>170</v>
      </c>
      <c r="M8" t="s">
        <v>31</v>
      </c>
      <c r="N8">
        <v>12000</v>
      </c>
      <c r="O8">
        <v>12000</v>
      </c>
      <c r="P8" s="68">
        <v>45521</v>
      </c>
      <c r="Q8" s="67">
        <v>45524</v>
      </c>
      <c r="R8" s="67">
        <v>45523</v>
      </c>
      <c r="S8" s="71">
        <f>IF(OR(ISBLANK(table1[[#This Row],[ميعاد الطلب]]),ISBLANK(table1[[#This Row],[ميعاد التسليم]])),0,table1[[#This Row],[ميعاد التسليم]]-table1[[#This Row],[ميعاد الطلب]])</f>
        <v>3</v>
      </c>
      <c r="T8" s="71">
        <f>IF(OR(ISBLANK(table1[[#This Row],[تاريخ التسليم]]),ISBLANK(table1[[#This Row],[ميعاد الطلب]]),ISBLANK(table1[[#This Row],[ميعاد التسليم]])),0,table1[[#This Row],[تاريخ التسليم]]-table1[[#This Row],[ميعاد الطلب]])</f>
        <v>2</v>
      </c>
      <c r="U8" s="80">
        <v>1</v>
      </c>
      <c r="V8" s="80" t="str" cm="1">
        <f t="array" ref="V8">_xlfn.IFS(OR(table1[[#This Row],[Column4]]=0,table1[[#This Row],[Column4]]="0"),"لا يوجد تاريخ", table1[[#This Row],[Column4]]&gt;0,"تم التسليم قبل الموعد",table1[[#This Row],[Column4]]&lt;0,"تم التسليم بعد الموعد")</f>
        <v>تم التسليم قبل الموعد</v>
      </c>
      <c r="W8" t="s">
        <v>27</v>
      </c>
      <c r="X8" t="s">
        <v>196</v>
      </c>
      <c r="Y8" s="1" t="str">
        <f>TRIM(table1[[#This Row],[الحالة]])</f>
        <v>تم التسليم</v>
      </c>
    </row>
    <row r="9" spans="1:25" ht="20.100000000000001" customHeight="1" x14ac:dyDescent="0.3">
      <c r="A9" t="s">
        <v>37</v>
      </c>
      <c r="B9" t="str">
        <f>IF(OR(table1[[#This Row],[أسم العميل]]="تاكى",table1[[#This Row],[أسم العميل]]="أوسكار راتن",table1[[#This Row],[أسم العميل]]="شيك هومز"),"شركات","أفراد")</f>
        <v>أفراد</v>
      </c>
      <c r="C9" t="s">
        <v>276</v>
      </c>
      <c r="D9" t="s">
        <v>339</v>
      </c>
      <c r="E9" t="s">
        <v>7</v>
      </c>
      <c r="F9" t="s">
        <v>148</v>
      </c>
      <c r="G9" t="s">
        <v>151</v>
      </c>
      <c r="H9"/>
      <c r="I9"/>
      <c r="J9" t="s">
        <v>333</v>
      </c>
      <c r="K9" t="s">
        <v>333</v>
      </c>
      <c r="L9" t="s">
        <v>419</v>
      </c>
      <c r="M9" t="s">
        <v>39</v>
      </c>
      <c r="N9">
        <v>7228</v>
      </c>
      <c r="O9" t="s">
        <v>15</v>
      </c>
      <c r="P9" s="68">
        <v>45529</v>
      </c>
      <c r="Q9" s="67">
        <v>45538</v>
      </c>
      <c r="R9" s="67">
        <v>45545</v>
      </c>
      <c r="S9" s="71">
        <f>IF(OR(ISBLANK(table1[[#This Row],[ميعاد الطلب]]),ISBLANK(table1[[#This Row],[ميعاد التسليم]])),0,table1[[#This Row],[ميعاد التسليم]]-table1[[#This Row],[ميعاد الطلب]])</f>
        <v>9</v>
      </c>
      <c r="T9" s="71">
        <f>IF(OR(ISBLANK(table1[[#This Row],[تاريخ التسليم]]),ISBLANK(table1[[#This Row],[ميعاد الطلب]]),ISBLANK(table1[[#This Row],[ميعاد التسليم]])),0,table1[[#This Row],[تاريخ التسليم]]-table1[[#This Row],[ميعاد الطلب]])</f>
        <v>16</v>
      </c>
      <c r="U9" s="80">
        <v>-7</v>
      </c>
      <c r="V9" s="80" t="str" cm="1">
        <f t="array" ref="V9">_xlfn.IFS(OR(table1[[#This Row],[Column4]]=0,table1[[#This Row],[Column4]]="0"),"لا يوجد تاريخ", table1[[#This Row],[Column4]]&gt;0,"تم التسليم قبل الموعد",table1[[#This Row],[Column4]]&lt;0,"تم التسليم بعد الموعد")</f>
        <v>تم التسليم بعد الموعد</v>
      </c>
      <c r="W9" t="s">
        <v>27</v>
      </c>
      <c r="X9" t="s">
        <v>196</v>
      </c>
      <c r="Y9" s="1" t="str">
        <f>TRIM(table1[[#This Row],[الحالة]])</f>
        <v>تم التسليم</v>
      </c>
    </row>
    <row r="10" spans="1:25" ht="20.100000000000001" customHeight="1" x14ac:dyDescent="0.3">
      <c r="A10" t="s">
        <v>42</v>
      </c>
      <c r="B10" t="str">
        <f>IF(OR(table1[[#This Row],[أسم العميل]]="تاكى",table1[[#This Row],[أسم العميل]]="أوسكار راتن",table1[[#This Row],[أسم العميل]]="شيك هومز"),"شركات","أفراد")</f>
        <v>شركات</v>
      </c>
      <c r="C10" t="s">
        <v>41</v>
      </c>
      <c r="D10" t="s">
        <v>344</v>
      </c>
      <c r="E10" t="s">
        <v>42</v>
      </c>
      <c r="F10" t="s">
        <v>156</v>
      </c>
      <c r="G10" t="s">
        <v>158</v>
      </c>
      <c r="H10"/>
      <c r="I10"/>
      <c r="J10" t="s">
        <v>419</v>
      </c>
      <c r="K10" t="s">
        <v>419</v>
      </c>
      <c r="L10" t="s">
        <v>419</v>
      </c>
      <c r="M10" t="s">
        <v>43</v>
      </c>
      <c r="N10">
        <v>22000</v>
      </c>
      <c r="O10">
        <v>22000</v>
      </c>
      <c r="P10" s="68">
        <v>45523</v>
      </c>
      <c r="Q10" s="67">
        <v>45536</v>
      </c>
      <c r="R10" s="67">
        <v>45552</v>
      </c>
      <c r="S10" s="71">
        <f>IF(OR(ISBLANK(table1[[#This Row],[ميعاد الطلب]]),ISBLANK(table1[[#This Row],[ميعاد التسليم]])),0,table1[[#This Row],[ميعاد التسليم]]-table1[[#This Row],[ميعاد الطلب]])</f>
        <v>13</v>
      </c>
      <c r="T10" s="71">
        <f>IF(OR(ISBLANK(table1[[#This Row],[تاريخ التسليم]]),ISBLANK(table1[[#This Row],[ميعاد الطلب]]),ISBLANK(table1[[#This Row],[ميعاد التسليم]])),0,table1[[#This Row],[تاريخ التسليم]]-table1[[#This Row],[ميعاد الطلب]])</f>
        <v>29</v>
      </c>
      <c r="U10" s="80">
        <v>-16</v>
      </c>
      <c r="V10" s="80" t="str" cm="1">
        <f t="array" ref="V10">_xlfn.IFS(OR(table1[[#This Row],[Column4]]=0,table1[[#This Row],[Column4]]="0"),"لا يوجد تاريخ", table1[[#This Row],[Column4]]&gt;0,"تم التسليم قبل الموعد",table1[[#This Row],[Column4]]&lt;0,"تم التسليم بعد الموعد")</f>
        <v>تم التسليم بعد الموعد</v>
      </c>
      <c r="W10"/>
      <c r="X10" t="s">
        <v>196</v>
      </c>
      <c r="Y10" s="1" t="str">
        <f>TRIM(table1[[#This Row],[الحالة]])</f>
        <v>تم التسليم</v>
      </c>
    </row>
    <row r="11" spans="1:25" ht="20.100000000000001" customHeight="1" x14ac:dyDescent="0.3">
      <c r="A11" t="s">
        <v>42</v>
      </c>
      <c r="B11" t="str">
        <f>IF(OR(table1[[#This Row],[أسم العميل]]="تاكى",table1[[#This Row],[أسم العميل]]="أوسكار راتن",table1[[#This Row],[أسم العميل]]="شيك هومز"),"شركات","أفراد")</f>
        <v>شركات</v>
      </c>
      <c r="C11" t="s">
        <v>41</v>
      </c>
      <c r="D11" t="s">
        <v>344</v>
      </c>
      <c r="E11" t="s">
        <v>42</v>
      </c>
      <c r="F11" t="s">
        <v>159</v>
      </c>
      <c r="G11" t="s">
        <v>157</v>
      </c>
      <c r="H11"/>
      <c r="I11"/>
      <c r="J11" t="s">
        <v>419</v>
      </c>
      <c r="K11" t="s">
        <v>419</v>
      </c>
      <c r="L11" t="s">
        <v>419</v>
      </c>
      <c r="M11" t="s">
        <v>44</v>
      </c>
      <c r="N11">
        <v>16000</v>
      </c>
      <c r="O11">
        <v>16000</v>
      </c>
      <c r="P11" s="68"/>
      <c r="Q11" s="67"/>
      <c r="R11" s="67"/>
      <c r="S11" s="71">
        <f>IF(OR(ISBLANK(table1[[#This Row],[ميعاد الطلب]]),ISBLANK(table1[[#This Row],[ميعاد التسليم]])),0,table1[[#This Row],[ميعاد التسليم]]-table1[[#This Row],[ميعاد الطلب]])</f>
        <v>0</v>
      </c>
      <c r="T11" s="71">
        <f>IF(OR(ISBLANK(table1[[#This Row],[تاريخ التسليم]]),ISBLANK(table1[[#This Row],[ميعاد الطلب]]),ISBLANK(table1[[#This Row],[ميعاد التسليم]])),0,table1[[#This Row],[تاريخ التسليم]]-table1[[#This Row],[ميعاد الطلب]])</f>
        <v>0</v>
      </c>
      <c r="U11" s="80" t="s">
        <v>429</v>
      </c>
      <c r="V11" s="80" t="str" cm="1">
        <f t="array" ref="V11">_xlfn.IFS(OR(table1[[#This Row],[Column4]]=0,table1[[#This Row],[Column4]]="0"),"لا يوجد تاريخ", table1[[#This Row],[Column4]]&gt;0,"تم التسليم قبل الموعد",table1[[#This Row],[Column4]]&lt;0,"تم التسليم بعد الموعد")</f>
        <v>لا يوجد تاريخ</v>
      </c>
      <c r="W11" t="s">
        <v>107</v>
      </c>
      <c r="X11" t="s">
        <v>234</v>
      </c>
      <c r="Y11" s="1" t="str">
        <f>TRIM(table1[[#This Row],[الحالة]])</f>
        <v>لاغى</v>
      </c>
    </row>
    <row r="12" spans="1:25" ht="20.100000000000001" customHeight="1" x14ac:dyDescent="0.3">
      <c r="A12" t="s">
        <v>42</v>
      </c>
      <c r="B12" t="str">
        <f>IF(OR(table1[[#This Row],[أسم العميل]]="تاكى",table1[[#This Row],[أسم العميل]]="أوسكار راتن",table1[[#This Row],[أسم العميل]]="شيك هومز"),"شركات","أفراد")</f>
        <v>شركات</v>
      </c>
      <c r="C12" t="s">
        <v>41</v>
      </c>
      <c r="D12" t="s">
        <v>344</v>
      </c>
      <c r="E12" t="s">
        <v>42</v>
      </c>
      <c r="F12" t="s">
        <v>159</v>
      </c>
      <c r="G12" t="s">
        <v>157</v>
      </c>
      <c r="H12"/>
      <c r="I12"/>
      <c r="J12" t="s">
        <v>419</v>
      </c>
      <c r="K12" t="s">
        <v>419</v>
      </c>
      <c r="L12" t="s">
        <v>419</v>
      </c>
      <c r="M12" t="s">
        <v>46</v>
      </c>
      <c r="N12">
        <v>6000</v>
      </c>
      <c r="O12">
        <v>12000</v>
      </c>
      <c r="P12" s="68">
        <v>45529</v>
      </c>
      <c r="Q12" s="67">
        <v>45550</v>
      </c>
      <c r="R12" s="67">
        <v>45552</v>
      </c>
      <c r="S12" s="71">
        <f>IF(OR(ISBLANK(table1[[#This Row],[ميعاد الطلب]]),ISBLANK(table1[[#This Row],[ميعاد التسليم]])),0,table1[[#This Row],[ميعاد التسليم]]-table1[[#This Row],[ميعاد الطلب]])</f>
        <v>21</v>
      </c>
      <c r="T12" s="71">
        <f>IF(OR(ISBLANK(table1[[#This Row],[تاريخ التسليم]]),ISBLANK(table1[[#This Row],[ميعاد الطلب]]),ISBLANK(table1[[#This Row],[ميعاد التسليم]])),0,table1[[#This Row],[تاريخ التسليم]]-table1[[#This Row],[ميعاد الطلب]])</f>
        <v>23</v>
      </c>
      <c r="U12" s="80">
        <v>-2</v>
      </c>
      <c r="V12" s="80" t="str" cm="1">
        <f t="array" ref="V12">_xlfn.IFS(OR(table1[[#This Row],[Column4]]=0,table1[[#This Row],[Column4]]="0"),"لا يوجد تاريخ", table1[[#This Row],[Column4]]&gt;0,"تم التسليم قبل الموعد",table1[[#This Row],[Column4]]&lt;0,"تم التسليم بعد الموعد")</f>
        <v>تم التسليم بعد الموعد</v>
      </c>
      <c r="W12" t="s">
        <v>197</v>
      </c>
      <c r="X12" t="s">
        <v>196</v>
      </c>
      <c r="Y12" s="1" t="str">
        <f>TRIM(table1[[#This Row],[الحالة]])</f>
        <v>تم التسليم</v>
      </c>
    </row>
    <row r="13" spans="1:25" ht="20.100000000000001" customHeight="1" x14ac:dyDescent="0.3">
      <c r="A13" t="s">
        <v>42</v>
      </c>
      <c r="B13" t="str">
        <f>IF(OR(table1[[#This Row],[أسم العميل]]="تاكى",table1[[#This Row],[أسم العميل]]="أوسكار راتن",table1[[#This Row],[أسم العميل]]="شيك هومز"),"شركات","أفراد")</f>
        <v>شركات</v>
      </c>
      <c r="C13" t="s">
        <v>41</v>
      </c>
      <c r="D13" t="s">
        <v>344</v>
      </c>
      <c r="E13" t="s">
        <v>42</v>
      </c>
      <c r="F13" t="s">
        <v>159</v>
      </c>
      <c r="G13" t="s">
        <v>157</v>
      </c>
      <c r="H13"/>
      <c r="I13"/>
      <c r="J13" t="s">
        <v>419</v>
      </c>
      <c r="K13" t="s">
        <v>419</v>
      </c>
      <c r="L13" t="s">
        <v>419</v>
      </c>
      <c r="M13" t="s">
        <v>46</v>
      </c>
      <c r="N13">
        <v>6000</v>
      </c>
      <c r="O13">
        <v>12000</v>
      </c>
      <c r="P13" s="68">
        <v>45529</v>
      </c>
      <c r="Q13" s="67">
        <v>45550</v>
      </c>
      <c r="R13" s="67">
        <v>45552</v>
      </c>
      <c r="S13" s="71">
        <f>IF(OR(ISBLANK(table1[[#This Row],[ميعاد الطلب]]),ISBLANK(table1[[#This Row],[ميعاد التسليم]])),0,table1[[#This Row],[ميعاد التسليم]]-table1[[#This Row],[ميعاد الطلب]])</f>
        <v>21</v>
      </c>
      <c r="T13" s="71">
        <f>IF(OR(ISBLANK(table1[[#This Row],[تاريخ التسليم]]),ISBLANK(table1[[#This Row],[ميعاد الطلب]]),ISBLANK(table1[[#This Row],[ميعاد التسليم]])),0,table1[[#This Row],[تاريخ التسليم]]-table1[[#This Row],[ميعاد الطلب]])</f>
        <v>23</v>
      </c>
      <c r="U13" s="80">
        <v>-2</v>
      </c>
      <c r="V13" s="80" t="str" cm="1">
        <f t="array" ref="V13">_xlfn.IFS(OR(table1[[#This Row],[Column4]]=0,table1[[#This Row],[Column4]]="0"),"لا يوجد تاريخ", table1[[#This Row],[Column4]]&gt;0,"تم التسليم قبل الموعد",table1[[#This Row],[Column4]]&lt;0,"تم التسليم بعد الموعد")</f>
        <v>تم التسليم بعد الموعد</v>
      </c>
      <c r="W13" t="s">
        <v>197</v>
      </c>
      <c r="X13" t="s">
        <v>196</v>
      </c>
      <c r="Y13" s="1" t="str">
        <f>TRIM(table1[[#This Row],[الحالة]])</f>
        <v>تم التسليم</v>
      </c>
    </row>
    <row r="14" spans="1:25" ht="20.100000000000001" customHeight="1" x14ac:dyDescent="0.3">
      <c r="A14" t="s">
        <v>382</v>
      </c>
      <c r="B14" t="str">
        <f>IF(OR(table1[[#This Row],[أسم العميل]]="تاكى",table1[[#This Row],[أسم العميل]]="أوسكار راتن",table1[[#This Row],[أسم العميل]]="شيك هومز"),"شركات","أفراد")</f>
        <v>أفراد</v>
      </c>
      <c r="C14" t="s">
        <v>48</v>
      </c>
      <c r="D14" t="s">
        <v>344</v>
      </c>
      <c r="E14" t="s">
        <v>7</v>
      </c>
      <c r="F14" t="s">
        <v>148</v>
      </c>
      <c r="G14" t="s">
        <v>163</v>
      </c>
      <c r="H14" t="s">
        <v>150</v>
      </c>
      <c r="I14">
        <v>80</v>
      </c>
      <c r="J14" t="s">
        <v>333</v>
      </c>
      <c r="K14" t="s">
        <v>333</v>
      </c>
      <c r="L14" t="s">
        <v>419</v>
      </c>
      <c r="M14" t="s">
        <v>49</v>
      </c>
      <c r="N14">
        <v>10499</v>
      </c>
      <c r="O14">
        <v>8924</v>
      </c>
      <c r="P14" s="68">
        <v>45536</v>
      </c>
      <c r="Q14" s="67">
        <v>45551</v>
      </c>
      <c r="R14" s="67">
        <v>45543</v>
      </c>
      <c r="S14" s="71">
        <f>IF(OR(ISBLANK(table1[[#This Row],[ميعاد الطلب]]),ISBLANK(table1[[#This Row],[ميعاد التسليم]])),0,table1[[#This Row],[ميعاد التسليم]]-table1[[#This Row],[ميعاد الطلب]])</f>
        <v>15</v>
      </c>
      <c r="T14" s="71">
        <f>IF(OR(ISBLANK(table1[[#This Row],[تاريخ التسليم]]),ISBLANK(table1[[#This Row],[ميعاد الطلب]]),ISBLANK(table1[[#This Row],[ميعاد التسليم]])),0,table1[[#This Row],[تاريخ التسليم]]-table1[[#This Row],[ميعاد الطلب]])</f>
        <v>7</v>
      </c>
      <c r="U14" s="80">
        <v>8</v>
      </c>
      <c r="V14" s="80" t="str" cm="1">
        <f t="array" ref="V14">_xlfn.IFS(OR(table1[[#This Row],[Column4]]=0,table1[[#This Row],[Column4]]="0"),"لا يوجد تاريخ", table1[[#This Row],[Column4]]&gt;0,"تم التسليم قبل الموعد",table1[[#This Row],[Column4]]&lt;0,"تم التسليم بعد الموعد")</f>
        <v>تم التسليم قبل الموعد</v>
      </c>
      <c r="W14" t="s">
        <v>27</v>
      </c>
      <c r="X14" t="s">
        <v>196</v>
      </c>
      <c r="Y14" s="1" t="str">
        <f>TRIM(table1[[#This Row],[الحالة]])</f>
        <v>تم التسليم</v>
      </c>
    </row>
    <row r="15" spans="1:25" ht="20.100000000000001" customHeight="1" x14ac:dyDescent="0.3">
      <c r="A15" t="s">
        <v>383</v>
      </c>
      <c r="B15" t="str">
        <f>IF(OR(table1[[#This Row],[أسم العميل]]="تاكى",table1[[#This Row],[أسم العميل]]="أوسكار راتن",table1[[#This Row],[أسم العميل]]="شيك هومز"),"شركات","أفراد")</f>
        <v>أفراد</v>
      </c>
      <c r="C15" t="s">
        <v>276</v>
      </c>
      <c r="D15" t="s">
        <v>339</v>
      </c>
      <c r="E15" t="s">
        <v>7</v>
      </c>
      <c r="F15" t="s">
        <v>148</v>
      </c>
      <c r="G15" t="s">
        <v>151</v>
      </c>
      <c r="H15" t="s">
        <v>150</v>
      </c>
      <c r="I15">
        <v>80</v>
      </c>
      <c r="J15" t="s">
        <v>333</v>
      </c>
      <c r="K15" t="s">
        <v>333</v>
      </c>
      <c r="L15" t="s">
        <v>419</v>
      </c>
      <c r="M15" t="s">
        <v>65</v>
      </c>
      <c r="N15">
        <v>7295</v>
      </c>
      <c r="O15">
        <v>5895</v>
      </c>
      <c r="P15" s="68">
        <v>45540</v>
      </c>
      <c r="Q15" s="67">
        <v>45549</v>
      </c>
      <c r="R15" s="67"/>
      <c r="S15" s="71">
        <f>IF(OR(ISBLANK(table1[[#This Row],[ميعاد الطلب]]),ISBLANK(table1[[#This Row],[ميعاد التسليم]])),0,table1[[#This Row],[ميعاد التسليم]]-table1[[#This Row],[ميعاد الطلب]])</f>
        <v>9</v>
      </c>
      <c r="T15" s="71">
        <f>IF(OR(ISBLANK(table1[[#This Row],[تاريخ التسليم]]),ISBLANK(table1[[#This Row],[ميعاد الطلب]]),ISBLANK(table1[[#This Row],[ميعاد التسليم]])),0,table1[[#This Row],[تاريخ التسليم]]-table1[[#This Row],[ميعاد الطلب]])</f>
        <v>0</v>
      </c>
      <c r="U15" s="80" t="s">
        <v>429</v>
      </c>
      <c r="V15" s="80" t="str" cm="1">
        <f t="array" ref="V15">_xlfn.IFS(OR(table1[[#This Row],[Column4]]=0,table1[[#This Row],[Column4]]="0"),"لا يوجد تاريخ", table1[[#This Row],[Column4]]&gt;0,"تم التسليم قبل الموعد",table1[[#This Row],[Column4]]&lt;0,"تم التسليم بعد الموعد")</f>
        <v>لا يوجد تاريخ</v>
      </c>
      <c r="W15"/>
      <c r="X15" t="s">
        <v>234</v>
      </c>
      <c r="Y15" s="1" t="str">
        <f>TRIM(table1[[#This Row],[الحالة]])</f>
        <v>لاغى</v>
      </c>
    </row>
    <row r="16" spans="1:25" ht="20.100000000000001" customHeight="1" x14ac:dyDescent="0.3">
      <c r="A16" t="s">
        <v>384</v>
      </c>
      <c r="B16" t="str">
        <f>IF(OR(table1[[#This Row],[أسم العميل]]="تاكى",table1[[#This Row],[أسم العميل]]="أوسكار راتن",table1[[#This Row],[أسم العميل]]="شيك هومز"),"شركات","أفراد")</f>
        <v>أفراد</v>
      </c>
      <c r="C16" t="s">
        <v>345</v>
      </c>
      <c r="D16" t="s">
        <v>344</v>
      </c>
      <c r="E16" t="s">
        <v>7</v>
      </c>
      <c r="F16" t="s">
        <v>155</v>
      </c>
      <c r="G16" t="s">
        <v>185</v>
      </c>
      <c r="H16"/>
      <c r="I16"/>
      <c r="J16" t="s">
        <v>419</v>
      </c>
      <c r="K16" t="s">
        <v>419</v>
      </c>
      <c r="L16" t="s">
        <v>419</v>
      </c>
      <c r="M16" t="s">
        <v>62</v>
      </c>
      <c r="N16">
        <v>7849</v>
      </c>
      <c r="O16" t="s">
        <v>15</v>
      </c>
      <c r="P16" s="68">
        <v>45539</v>
      </c>
      <c r="Q16" s="67">
        <v>45551</v>
      </c>
      <c r="R16" s="67">
        <v>45560</v>
      </c>
      <c r="S16" s="71">
        <f>IF(OR(ISBLANK(table1[[#This Row],[ميعاد الطلب]]),ISBLANK(table1[[#This Row],[ميعاد التسليم]])),0,table1[[#This Row],[ميعاد التسليم]]-table1[[#This Row],[ميعاد الطلب]])</f>
        <v>12</v>
      </c>
      <c r="T16" s="71">
        <f>IF(OR(ISBLANK(table1[[#This Row],[تاريخ التسليم]]),ISBLANK(table1[[#This Row],[ميعاد الطلب]]),ISBLANK(table1[[#This Row],[ميعاد التسليم]])),0,table1[[#This Row],[تاريخ التسليم]]-table1[[#This Row],[ميعاد الطلب]])</f>
        <v>21</v>
      </c>
      <c r="U16" s="80">
        <v>-9</v>
      </c>
      <c r="V16" s="80" t="str" cm="1">
        <f t="array" ref="V16">_xlfn.IFS(OR(table1[[#This Row],[Column4]]=0,table1[[#This Row],[Column4]]="0"),"لا يوجد تاريخ", table1[[#This Row],[Column4]]&gt;0,"تم التسليم قبل الموعد",table1[[#This Row],[Column4]]&lt;0,"تم التسليم بعد الموعد")</f>
        <v>تم التسليم بعد الموعد</v>
      </c>
      <c r="W16" t="s">
        <v>27</v>
      </c>
      <c r="X16" t="s">
        <v>206</v>
      </c>
      <c r="Y16" s="1" t="str">
        <f>TRIM(table1[[#This Row],[الحالة]])</f>
        <v>مرتجع</v>
      </c>
    </row>
    <row r="17" spans="1:25" ht="20.100000000000001" customHeight="1" x14ac:dyDescent="0.3">
      <c r="A17" t="s">
        <v>385</v>
      </c>
      <c r="B17" t="str">
        <f>IF(OR(table1[[#This Row],[أسم العميل]]="تاكى",table1[[#This Row],[أسم العميل]]="أوسكار راتن",table1[[#This Row],[أسم العميل]]="شيك هومز"),"شركات","أفراد")</f>
        <v>أفراد</v>
      </c>
      <c r="C17" t="s">
        <v>33</v>
      </c>
      <c r="D17" t="s">
        <v>344</v>
      </c>
      <c r="E17" t="s">
        <v>414</v>
      </c>
      <c r="F17" t="s">
        <v>148</v>
      </c>
      <c r="G17" t="s">
        <v>163</v>
      </c>
      <c r="H17" t="s">
        <v>153</v>
      </c>
      <c r="I17">
        <v>120</v>
      </c>
      <c r="J17" t="s">
        <v>334</v>
      </c>
      <c r="K17" t="s">
        <v>334</v>
      </c>
      <c r="L17" t="s">
        <v>419</v>
      </c>
      <c r="M17" t="s">
        <v>56</v>
      </c>
      <c r="N17">
        <v>6180</v>
      </c>
      <c r="O17">
        <v>9700</v>
      </c>
      <c r="P17" s="68">
        <v>45538</v>
      </c>
      <c r="Q17" s="67">
        <v>45551</v>
      </c>
      <c r="R17" s="67">
        <v>45550</v>
      </c>
      <c r="S17" s="71">
        <f>IF(OR(ISBLANK(table1[[#This Row],[ميعاد الطلب]]),ISBLANK(table1[[#This Row],[ميعاد التسليم]])),0,table1[[#This Row],[ميعاد التسليم]]-table1[[#This Row],[ميعاد الطلب]])</f>
        <v>13</v>
      </c>
      <c r="T17" s="71">
        <f>IF(OR(ISBLANK(table1[[#This Row],[تاريخ التسليم]]),ISBLANK(table1[[#This Row],[ميعاد الطلب]]),ISBLANK(table1[[#This Row],[ميعاد التسليم]])),0,table1[[#This Row],[تاريخ التسليم]]-table1[[#This Row],[ميعاد الطلب]])</f>
        <v>12</v>
      </c>
      <c r="U17" s="80">
        <v>1</v>
      </c>
      <c r="V17" s="80" t="str" cm="1">
        <f t="array" ref="V17">_xlfn.IFS(OR(table1[[#This Row],[Column4]]=0,table1[[#This Row],[Column4]]="0"),"لا يوجد تاريخ", table1[[#This Row],[Column4]]&gt;0,"تم التسليم قبل الموعد",table1[[#This Row],[Column4]]&lt;0,"تم التسليم بعد الموعد")</f>
        <v>تم التسليم قبل الموعد</v>
      </c>
      <c r="W17" t="s">
        <v>197</v>
      </c>
      <c r="X17" t="s">
        <v>196</v>
      </c>
      <c r="Y17" s="1" t="str">
        <f>TRIM(table1[[#This Row],[الحالة]])</f>
        <v>تم التسليم</v>
      </c>
    </row>
    <row r="18" spans="1:25" ht="20.100000000000001" customHeight="1" x14ac:dyDescent="0.3">
      <c r="A18" t="s">
        <v>385</v>
      </c>
      <c r="B18" t="str">
        <f>IF(OR(table1[[#This Row],[أسم العميل]]="تاكى",table1[[#This Row],[أسم العميل]]="أوسكار راتن",table1[[#This Row],[أسم العميل]]="شيك هومز"),"شركات","أفراد")</f>
        <v>أفراد</v>
      </c>
      <c r="C18" t="s">
        <v>33</v>
      </c>
      <c r="D18" t="s">
        <v>344</v>
      </c>
      <c r="E18" t="s">
        <v>414</v>
      </c>
      <c r="F18" t="s">
        <v>148</v>
      </c>
      <c r="G18" t="s">
        <v>163</v>
      </c>
      <c r="H18" t="s">
        <v>153</v>
      </c>
      <c r="I18">
        <v>120</v>
      </c>
      <c r="J18" t="s">
        <v>334</v>
      </c>
      <c r="K18" t="s">
        <v>334</v>
      </c>
      <c r="L18" t="s">
        <v>419</v>
      </c>
      <c r="M18" t="s">
        <v>56</v>
      </c>
      <c r="N18">
        <v>6180</v>
      </c>
      <c r="O18">
        <v>9700</v>
      </c>
      <c r="P18" s="68">
        <v>45538</v>
      </c>
      <c r="Q18" s="67">
        <v>45551</v>
      </c>
      <c r="R18" s="67">
        <v>45550</v>
      </c>
      <c r="S18" s="71">
        <f>IF(OR(ISBLANK(table1[[#This Row],[ميعاد الطلب]]),ISBLANK(table1[[#This Row],[ميعاد التسليم]])),0,table1[[#This Row],[ميعاد التسليم]]-table1[[#This Row],[ميعاد الطلب]])</f>
        <v>13</v>
      </c>
      <c r="T18" s="71">
        <f>IF(OR(ISBLANK(table1[[#This Row],[تاريخ التسليم]]),ISBLANK(table1[[#This Row],[ميعاد الطلب]]),ISBLANK(table1[[#This Row],[ميعاد التسليم]])),0,table1[[#This Row],[تاريخ التسليم]]-table1[[#This Row],[ميعاد الطلب]])</f>
        <v>12</v>
      </c>
      <c r="U18" s="80">
        <v>1</v>
      </c>
      <c r="V18" s="80" t="str" cm="1">
        <f t="array" ref="V18">_xlfn.IFS(OR(table1[[#This Row],[Column4]]=0,table1[[#This Row],[Column4]]="0"),"لا يوجد تاريخ", table1[[#This Row],[Column4]]&gt;0,"تم التسليم قبل الموعد",table1[[#This Row],[Column4]]&lt;0,"تم التسليم بعد الموعد")</f>
        <v>تم التسليم قبل الموعد</v>
      </c>
      <c r="W18" t="s">
        <v>197</v>
      </c>
      <c r="X18" t="s">
        <v>196</v>
      </c>
      <c r="Y18" s="1" t="str">
        <f>TRIM(table1[[#This Row],[الحالة]])</f>
        <v>تم التسليم</v>
      </c>
    </row>
    <row r="19" spans="1:25" ht="20.100000000000001" customHeight="1" x14ac:dyDescent="0.3">
      <c r="A19" t="s">
        <v>57</v>
      </c>
      <c r="B19" t="str">
        <f>IF(OR(table1[[#This Row],[أسم العميل]]="تاكى",table1[[#This Row],[أسم العميل]]="أوسكار راتن",table1[[#This Row],[أسم العميل]]="شيك هومز"),"شركات","أفراد")</f>
        <v>أفراد</v>
      </c>
      <c r="C19" t="s">
        <v>346</v>
      </c>
      <c r="D19" t="s">
        <v>344</v>
      </c>
      <c r="E19" t="s">
        <v>7</v>
      </c>
      <c r="F19" t="s">
        <v>148</v>
      </c>
      <c r="G19" t="s">
        <v>163</v>
      </c>
      <c r="H19" t="s">
        <v>152</v>
      </c>
      <c r="I19">
        <v>80</v>
      </c>
      <c r="J19" t="s">
        <v>333</v>
      </c>
      <c r="K19" t="s">
        <v>333</v>
      </c>
      <c r="L19" t="s">
        <v>419</v>
      </c>
      <c r="M19" t="s">
        <v>59</v>
      </c>
      <c r="N19">
        <v>11199</v>
      </c>
      <c r="O19">
        <v>11310</v>
      </c>
      <c r="P19" s="68">
        <v>45539</v>
      </c>
      <c r="Q19" s="67">
        <v>45553</v>
      </c>
      <c r="R19" s="67"/>
      <c r="S19" s="71">
        <f>IF(OR(ISBLANK(table1[[#This Row],[ميعاد الطلب]]),ISBLANK(table1[[#This Row],[ميعاد التسليم]])),0,table1[[#This Row],[ميعاد التسليم]]-table1[[#This Row],[ميعاد الطلب]])</f>
        <v>14</v>
      </c>
      <c r="T19" s="71">
        <f>IF(OR(ISBLANK(table1[[#This Row],[تاريخ التسليم]]),ISBLANK(table1[[#This Row],[ميعاد الطلب]]),ISBLANK(table1[[#This Row],[ميعاد التسليم]])),0,table1[[#This Row],[تاريخ التسليم]]-table1[[#This Row],[ميعاد الطلب]])</f>
        <v>0</v>
      </c>
      <c r="U19" s="80" t="s">
        <v>429</v>
      </c>
      <c r="V19" s="80" t="str" cm="1">
        <f t="array" ref="V19">_xlfn.IFS(OR(table1[[#This Row],[Column4]]=0,table1[[#This Row],[Column4]]="0"),"لا يوجد تاريخ", table1[[#This Row],[Column4]]&gt;0,"تم التسليم قبل الموعد",table1[[#This Row],[Column4]]&lt;0,"تم التسليم بعد الموعد")</f>
        <v>لا يوجد تاريخ</v>
      </c>
      <c r="W19"/>
      <c r="X19" t="s">
        <v>234</v>
      </c>
      <c r="Y19" s="1" t="str">
        <f>TRIM(table1[[#This Row],[الحالة]])</f>
        <v>لاغى</v>
      </c>
    </row>
    <row r="20" spans="1:25" ht="20.100000000000001" customHeight="1" x14ac:dyDescent="0.3">
      <c r="A20" t="s">
        <v>381</v>
      </c>
      <c r="B20" t="str">
        <f>IF(OR(table1[[#This Row],[أسم العميل]]="تاكى",table1[[#This Row],[أسم العميل]]="أوسكار راتن",table1[[#This Row],[أسم العميل]]="شيك هومز"),"شركات","أفراد")</f>
        <v>أفراد</v>
      </c>
      <c r="C20" t="s">
        <v>66</v>
      </c>
      <c r="D20" t="s">
        <v>344</v>
      </c>
      <c r="E20" t="s">
        <v>7</v>
      </c>
      <c r="F20" t="s">
        <v>148</v>
      </c>
      <c r="G20" t="s">
        <v>151</v>
      </c>
      <c r="H20" t="s">
        <v>175</v>
      </c>
      <c r="I20">
        <v>80</v>
      </c>
      <c r="J20" t="s">
        <v>333</v>
      </c>
      <c r="K20" t="s">
        <v>333</v>
      </c>
      <c r="L20" t="s">
        <v>419</v>
      </c>
      <c r="M20" t="s">
        <v>67</v>
      </c>
      <c r="N20">
        <v>7987</v>
      </c>
      <c r="O20" t="s">
        <v>15</v>
      </c>
      <c r="P20" s="68">
        <v>45541</v>
      </c>
      <c r="Q20" s="67">
        <v>45551</v>
      </c>
      <c r="R20" s="67">
        <v>45556</v>
      </c>
      <c r="S20" s="71">
        <f>IF(OR(ISBLANK(table1[[#This Row],[ميعاد الطلب]]),ISBLANK(table1[[#This Row],[ميعاد التسليم]])),0,table1[[#This Row],[ميعاد التسليم]]-table1[[#This Row],[ميعاد الطلب]])</f>
        <v>10</v>
      </c>
      <c r="T20" s="71">
        <f>IF(OR(ISBLANK(table1[[#This Row],[تاريخ التسليم]]),ISBLANK(table1[[#This Row],[ميعاد الطلب]]),ISBLANK(table1[[#This Row],[ميعاد التسليم]])),0,table1[[#This Row],[تاريخ التسليم]]-table1[[#This Row],[ميعاد الطلب]])</f>
        <v>15</v>
      </c>
      <c r="U20" s="80">
        <v>-5</v>
      </c>
      <c r="V20" s="80" t="str" cm="1">
        <f t="array" ref="V20">_xlfn.IFS(OR(table1[[#This Row],[Column4]]=0,table1[[#This Row],[Column4]]="0"),"لا يوجد تاريخ", table1[[#This Row],[Column4]]&gt;0,"تم التسليم قبل الموعد",table1[[#This Row],[Column4]]&lt;0,"تم التسليم بعد الموعد")</f>
        <v>تم التسليم بعد الموعد</v>
      </c>
      <c r="W20" t="s">
        <v>197</v>
      </c>
      <c r="X20" t="s">
        <v>196</v>
      </c>
      <c r="Y20" s="1" t="str">
        <f>TRIM(table1[[#This Row],[الحالة]])</f>
        <v>تم التسليم</v>
      </c>
    </row>
    <row r="21" spans="1:25" ht="20.100000000000001" customHeight="1" x14ac:dyDescent="0.3">
      <c r="A21" t="s">
        <v>42</v>
      </c>
      <c r="B21" t="str">
        <f>IF(OR(table1[[#This Row],[أسم العميل]]="تاكى",table1[[#This Row],[أسم العميل]]="أوسكار راتن",table1[[#This Row],[أسم العميل]]="شيك هومز"),"شركات","أفراد")</f>
        <v>شركات</v>
      </c>
      <c r="C21" t="s">
        <v>41</v>
      </c>
      <c r="D21" t="s">
        <v>344</v>
      </c>
      <c r="E21" t="s">
        <v>42</v>
      </c>
      <c r="F21" t="s">
        <v>160</v>
      </c>
      <c r="G21" t="s">
        <v>161</v>
      </c>
      <c r="H21"/>
      <c r="I21"/>
      <c r="J21" t="s">
        <v>419</v>
      </c>
      <c r="K21" t="s">
        <v>419</v>
      </c>
      <c r="L21" t="s">
        <v>419</v>
      </c>
      <c r="M21" t="s">
        <v>63</v>
      </c>
      <c r="N21">
        <v>9300</v>
      </c>
      <c r="O21">
        <v>9300</v>
      </c>
      <c r="P21" s="68">
        <v>45539</v>
      </c>
      <c r="Q21" s="67">
        <v>45550</v>
      </c>
      <c r="R21" s="67">
        <v>45552</v>
      </c>
      <c r="S21" s="71">
        <f>IF(OR(ISBLANK(table1[[#This Row],[ميعاد الطلب]]),ISBLANK(table1[[#This Row],[ميعاد التسليم]])),0,table1[[#This Row],[ميعاد التسليم]]-table1[[#This Row],[ميعاد الطلب]])</f>
        <v>11</v>
      </c>
      <c r="T21" s="71">
        <f>IF(OR(ISBLANK(table1[[#This Row],[تاريخ التسليم]]),ISBLANK(table1[[#This Row],[ميعاد الطلب]]),ISBLANK(table1[[#This Row],[ميعاد التسليم]])),0,table1[[#This Row],[تاريخ التسليم]]-table1[[#This Row],[ميعاد الطلب]])</f>
        <v>13</v>
      </c>
      <c r="U21" s="80">
        <v>-2</v>
      </c>
      <c r="V21" s="80" t="str" cm="1">
        <f t="array" ref="V21">_xlfn.IFS(OR(table1[[#This Row],[Column4]]=0,table1[[#This Row],[Column4]]="0"),"لا يوجد تاريخ", table1[[#This Row],[Column4]]&gt;0,"تم التسليم قبل الموعد",table1[[#This Row],[Column4]]&lt;0,"تم التسليم بعد الموعد")</f>
        <v>تم التسليم بعد الموعد</v>
      </c>
      <c r="W21" t="s">
        <v>197</v>
      </c>
      <c r="X21" t="s">
        <v>196</v>
      </c>
      <c r="Y21" s="1" t="str">
        <f>TRIM(table1[[#This Row],[الحالة]])</f>
        <v>تم التسليم</v>
      </c>
    </row>
    <row r="22" spans="1:25" ht="20.100000000000001" customHeight="1" x14ac:dyDescent="0.3">
      <c r="A22" t="s">
        <v>381</v>
      </c>
      <c r="B22" t="str">
        <f>IF(OR(table1[[#This Row],[أسم العميل]]="تاكى",table1[[#This Row],[أسم العميل]]="أوسكار راتن",table1[[#This Row],[أسم العميل]]="شيك هومز"),"شركات","أفراد")</f>
        <v>أفراد</v>
      </c>
      <c r="C22" t="s">
        <v>66</v>
      </c>
      <c r="D22" t="s">
        <v>344</v>
      </c>
      <c r="E22" t="s">
        <v>7</v>
      </c>
      <c r="F22" t="s">
        <v>148</v>
      </c>
      <c r="G22" t="s">
        <v>151</v>
      </c>
      <c r="H22" t="s">
        <v>175</v>
      </c>
      <c r="I22">
        <v>80</v>
      </c>
      <c r="J22" t="s">
        <v>333</v>
      </c>
      <c r="K22" t="s">
        <v>333</v>
      </c>
      <c r="L22" t="s">
        <v>419</v>
      </c>
      <c r="M22" t="s">
        <v>67</v>
      </c>
      <c r="N22">
        <v>7987</v>
      </c>
      <c r="O22" t="s">
        <v>15</v>
      </c>
      <c r="P22" s="68">
        <v>45541</v>
      </c>
      <c r="Q22" s="67">
        <v>45551</v>
      </c>
      <c r="R22" s="67">
        <v>45556</v>
      </c>
      <c r="S22" s="71">
        <f>IF(OR(ISBLANK(table1[[#This Row],[ميعاد الطلب]]),ISBLANK(table1[[#This Row],[ميعاد التسليم]])),0,table1[[#This Row],[ميعاد التسليم]]-table1[[#This Row],[ميعاد الطلب]])</f>
        <v>10</v>
      </c>
      <c r="T22" s="71">
        <f>IF(OR(ISBLANK(table1[[#This Row],[تاريخ التسليم]]),ISBLANK(table1[[#This Row],[ميعاد الطلب]]),ISBLANK(table1[[#This Row],[ميعاد التسليم]])),0,table1[[#This Row],[تاريخ التسليم]]-table1[[#This Row],[ميعاد الطلب]])</f>
        <v>15</v>
      </c>
      <c r="U22" s="80">
        <v>-5</v>
      </c>
      <c r="V22" s="80" t="str" cm="1">
        <f t="array" ref="V22">_xlfn.IFS(OR(table1[[#This Row],[Column4]]=0,table1[[#This Row],[Column4]]="0"),"لا يوجد تاريخ", table1[[#This Row],[Column4]]&gt;0,"تم التسليم قبل الموعد",table1[[#This Row],[Column4]]&lt;0,"تم التسليم بعد الموعد")</f>
        <v>تم التسليم بعد الموعد</v>
      </c>
      <c r="W22" t="s">
        <v>197</v>
      </c>
      <c r="X22" t="s">
        <v>196</v>
      </c>
      <c r="Y22" s="1" t="str">
        <f>TRIM(table1[[#This Row],[الحالة]])</f>
        <v>تم التسليم</v>
      </c>
    </row>
    <row r="23" spans="1:25" ht="20.100000000000001" customHeight="1" x14ac:dyDescent="0.3">
      <c r="A23" t="s">
        <v>381</v>
      </c>
      <c r="B23" t="str">
        <f>IF(OR(table1[[#This Row],[أسم العميل]]="تاكى",table1[[#This Row],[أسم العميل]]="أوسكار راتن",table1[[#This Row],[أسم العميل]]="شيك هومز"),"شركات","أفراد")</f>
        <v>أفراد</v>
      </c>
      <c r="C23" t="s">
        <v>66</v>
      </c>
      <c r="D23" t="s">
        <v>344</v>
      </c>
      <c r="E23" t="s">
        <v>7</v>
      </c>
      <c r="F23" t="s">
        <v>148</v>
      </c>
      <c r="G23" t="s">
        <v>151</v>
      </c>
      <c r="H23" t="s">
        <v>175</v>
      </c>
      <c r="I23">
        <v>80</v>
      </c>
      <c r="J23" t="s">
        <v>333</v>
      </c>
      <c r="K23" t="s">
        <v>333</v>
      </c>
      <c r="L23" t="s">
        <v>419</v>
      </c>
      <c r="M23" t="s">
        <v>67</v>
      </c>
      <c r="N23">
        <v>7987</v>
      </c>
      <c r="O23" t="s">
        <v>15</v>
      </c>
      <c r="P23" s="68">
        <v>45541</v>
      </c>
      <c r="Q23" s="67">
        <v>45551</v>
      </c>
      <c r="R23" s="67">
        <v>45556</v>
      </c>
      <c r="S23" s="71">
        <f>IF(OR(ISBLANK(table1[[#This Row],[ميعاد الطلب]]),ISBLANK(table1[[#This Row],[ميعاد التسليم]])),0,table1[[#This Row],[ميعاد التسليم]]-table1[[#This Row],[ميعاد الطلب]])</f>
        <v>10</v>
      </c>
      <c r="T23" s="71">
        <f>IF(OR(ISBLANK(table1[[#This Row],[تاريخ التسليم]]),ISBLANK(table1[[#This Row],[ميعاد الطلب]]),ISBLANK(table1[[#This Row],[ميعاد التسليم]])),0,table1[[#This Row],[تاريخ التسليم]]-table1[[#This Row],[ميعاد الطلب]])</f>
        <v>15</v>
      </c>
      <c r="U23" s="80">
        <v>-5</v>
      </c>
      <c r="V23" s="80" t="str" cm="1">
        <f t="array" ref="V23">_xlfn.IFS(OR(table1[[#This Row],[Column4]]=0,table1[[#This Row],[Column4]]="0"),"لا يوجد تاريخ", table1[[#This Row],[Column4]]&gt;0,"تم التسليم قبل الموعد",table1[[#This Row],[Column4]]&lt;0,"تم التسليم بعد الموعد")</f>
        <v>تم التسليم بعد الموعد</v>
      </c>
      <c r="W23" t="s">
        <v>197</v>
      </c>
      <c r="X23" t="s">
        <v>196</v>
      </c>
      <c r="Y23" s="1" t="str">
        <f>TRIM(table1[[#This Row],[الحالة]])</f>
        <v>تم التسليم</v>
      </c>
    </row>
    <row r="24" spans="1:25" ht="20.100000000000001" customHeight="1" x14ac:dyDescent="0.3">
      <c r="A24" t="s">
        <v>381</v>
      </c>
      <c r="B24" t="str">
        <f>IF(OR(table1[[#This Row],[أسم العميل]]="تاكى",table1[[#This Row],[أسم العميل]]="أوسكار راتن",table1[[#This Row],[أسم العميل]]="شيك هومز"),"شركات","أفراد")</f>
        <v>أفراد</v>
      </c>
      <c r="C24" t="s">
        <v>66</v>
      </c>
      <c r="D24" t="s">
        <v>344</v>
      </c>
      <c r="E24" t="s">
        <v>7</v>
      </c>
      <c r="F24" t="s">
        <v>148</v>
      </c>
      <c r="G24" t="s">
        <v>151</v>
      </c>
      <c r="H24" t="s">
        <v>175</v>
      </c>
      <c r="I24">
        <v>80</v>
      </c>
      <c r="J24" t="s">
        <v>333</v>
      </c>
      <c r="K24" t="s">
        <v>333</v>
      </c>
      <c r="L24" t="s">
        <v>419</v>
      </c>
      <c r="M24" t="s">
        <v>67</v>
      </c>
      <c r="N24">
        <v>7987</v>
      </c>
      <c r="O24" t="s">
        <v>15</v>
      </c>
      <c r="P24" s="68">
        <v>45541</v>
      </c>
      <c r="Q24" s="67">
        <v>45551</v>
      </c>
      <c r="R24" s="67">
        <v>45556</v>
      </c>
      <c r="S24" s="71">
        <f>IF(OR(ISBLANK(table1[[#This Row],[ميعاد الطلب]]),ISBLANK(table1[[#This Row],[ميعاد التسليم]])),0,table1[[#This Row],[ميعاد التسليم]]-table1[[#This Row],[ميعاد الطلب]])</f>
        <v>10</v>
      </c>
      <c r="T24" s="71">
        <f>IF(OR(ISBLANK(table1[[#This Row],[تاريخ التسليم]]),ISBLANK(table1[[#This Row],[ميعاد الطلب]]),ISBLANK(table1[[#This Row],[ميعاد التسليم]])),0,table1[[#This Row],[تاريخ التسليم]]-table1[[#This Row],[ميعاد الطلب]])</f>
        <v>15</v>
      </c>
      <c r="U24" s="80">
        <v>-5</v>
      </c>
      <c r="V24" s="80" t="str" cm="1">
        <f t="array" ref="V24">_xlfn.IFS(OR(table1[[#This Row],[Column4]]=0,table1[[#This Row],[Column4]]="0"),"لا يوجد تاريخ", table1[[#This Row],[Column4]]&gt;0,"تم التسليم قبل الموعد",table1[[#This Row],[Column4]]&lt;0,"تم التسليم بعد الموعد")</f>
        <v>تم التسليم بعد الموعد</v>
      </c>
      <c r="W24" t="s">
        <v>197</v>
      </c>
      <c r="X24" t="s">
        <v>196</v>
      </c>
      <c r="Y24" s="1" t="str">
        <f>TRIM(table1[[#This Row],[الحالة]])</f>
        <v>تم التسليم</v>
      </c>
    </row>
    <row r="25" spans="1:25" ht="20.100000000000001" customHeight="1" x14ac:dyDescent="0.3">
      <c r="A25" t="s">
        <v>104</v>
      </c>
      <c r="B25" t="str">
        <f>IF(OR(table1[[#This Row],[أسم العميل]]="تاكى",table1[[#This Row],[أسم العميل]]="أوسكار راتن",table1[[#This Row],[أسم العميل]]="شيك هومز"),"شركات","أفراد")</f>
        <v>أفراد</v>
      </c>
      <c r="C25" t="s">
        <v>105</v>
      </c>
      <c r="D25" t="s">
        <v>344</v>
      </c>
      <c r="E25" t="s">
        <v>7</v>
      </c>
      <c r="F25" t="s">
        <v>155</v>
      </c>
      <c r="G25" t="s">
        <v>185</v>
      </c>
      <c r="H25"/>
      <c r="I25"/>
      <c r="J25" t="s">
        <v>419</v>
      </c>
      <c r="K25" t="s">
        <v>419</v>
      </c>
      <c r="L25" t="s">
        <v>419</v>
      </c>
      <c r="M25" t="s">
        <v>62</v>
      </c>
      <c r="N25">
        <v>8849</v>
      </c>
      <c r="O25" t="s">
        <v>15</v>
      </c>
      <c r="P25" s="68">
        <v>45538</v>
      </c>
      <c r="Q25" s="67">
        <v>45581</v>
      </c>
      <c r="R25" s="67"/>
      <c r="S25" s="71">
        <f>IF(OR(ISBLANK(table1[[#This Row],[ميعاد الطلب]]),ISBLANK(table1[[#This Row],[ميعاد التسليم]])),0,table1[[#This Row],[ميعاد التسليم]]-table1[[#This Row],[ميعاد الطلب]])</f>
        <v>43</v>
      </c>
      <c r="T25" s="71">
        <f>IF(OR(ISBLANK(table1[[#This Row],[تاريخ التسليم]]),ISBLANK(table1[[#This Row],[ميعاد الطلب]]),ISBLANK(table1[[#This Row],[ميعاد التسليم]])),0,table1[[#This Row],[تاريخ التسليم]]-table1[[#This Row],[ميعاد الطلب]])</f>
        <v>0</v>
      </c>
      <c r="U25" s="80" t="s">
        <v>429</v>
      </c>
      <c r="V25" s="80" t="str" cm="1">
        <f t="array" ref="V25">_xlfn.IFS(OR(table1[[#This Row],[Column4]]=0,table1[[#This Row],[Column4]]="0"),"لا يوجد تاريخ", table1[[#This Row],[Column4]]&gt;0,"تم التسليم قبل الموعد",table1[[#This Row],[Column4]]&lt;0,"تم التسليم بعد الموعد")</f>
        <v>لا يوجد تاريخ</v>
      </c>
      <c r="W25"/>
      <c r="X25" t="s">
        <v>234</v>
      </c>
      <c r="Y25" s="1" t="str">
        <f>TRIM(table1[[#This Row],[الحالة]])</f>
        <v>لاغى</v>
      </c>
    </row>
    <row r="26" spans="1:25" ht="20.100000000000001" customHeight="1" x14ac:dyDescent="0.3">
      <c r="A26" t="s">
        <v>68</v>
      </c>
      <c r="B26" t="str">
        <f>IF(OR(table1[[#This Row],[أسم العميل]]="تاكى",table1[[#This Row],[أسم العميل]]="أوسكار راتن",table1[[#This Row],[أسم العميل]]="شيك هومز"),"شركات","أفراد")</f>
        <v>أفراد</v>
      </c>
      <c r="C26" t="s">
        <v>276</v>
      </c>
      <c r="D26" t="s">
        <v>339</v>
      </c>
      <c r="E26" t="s">
        <v>7</v>
      </c>
      <c r="F26" t="s">
        <v>148</v>
      </c>
      <c r="G26" t="s">
        <v>151</v>
      </c>
      <c r="H26" t="s">
        <v>154</v>
      </c>
      <c r="I26">
        <v>120</v>
      </c>
      <c r="J26" t="s">
        <v>333</v>
      </c>
      <c r="K26" t="s">
        <v>333</v>
      </c>
      <c r="L26" t="s">
        <v>419</v>
      </c>
      <c r="M26" t="s">
        <v>69</v>
      </c>
      <c r="N26">
        <v>10987</v>
      </c>
      <c r="O26" t="s">
        <v>15</v>
      </c>
      <c r="P26" s="68">
        <v>45544</v>
      </c>
      <c r="Q26" s="67">
        <v>45552</v>
      </c>
      <c r="R26" s="67">
        <v>45556</v>
      </c>
      <c r="S26" s="71">
        <f>IF(OR(ISBLANK(table1[[#This Row],[ميعاد الطلب]]),ISBLANK(table1[[#This Row],[ميعاد التسليم]])),0,table1[[#This Row],[ميعاد التسليم]]-table1[[#This Row],[ميعاد الطلب]])</f>
        <v>8</v>
      </c>
      <c r="T26" s="71">
        <f>IF(OR(ISBLANK(table1[[#This Row],[تاريخ التسليم]]),ISBLANK(table1[[#This Row],[ميعاد الطلب]]),ISBLANK(table1[[#This Row],[ميعاد التسليم]])),0,table1[[#This Row],[تاريخ التسليم]]-table1[[#This Row],[ميعاد الطلب]])</f>
        <v>12</v>
      </c>
      <c r="U26" s="80">
        <v>-4</v>
      </c>
      <c r="V26" s="80" t="str" cm="1">
        <f t="array" ref="V26">_xlfn.IFS(OR(table1[[#This Row],[Column4]]=0,table1[[#This Row],[Column4]]="0"),"لا يوجد تاريخ", table1[[#This Row],[Column4]]&gt;0,"تم التسليم قبل الموعد",table1[[#This Row],[Column4]]&lt;0,"تم التسليم بعد الموعد")</f>
        <v>تم التسليم بعد الموعد</v>
      </c>
      <c r="W26" t="s">
        <v>197</v>
      </c>
      <c r="X26" t="s">
        <v>196</v>
      </c>
      <c r="Y26" s="1" t="str">
        <f>TRIM(table1[[#This Row],[الحالة]])</f>
        <v>تم التسليم</v>
      </c>
    </row>
    <row r="27" spans="1:25" ht="20.100000000000001" customHeight="1" x14ac:dyDescent="0.3">
      <c r="A27" t="s">
        <v>51</v>
      </c>
      <c r="B27" t="str">
        <f>IF(OR(table1[[#This Row],[أسم العميل]]="تاكى",table1[[#This Row],[أسم العميل]]="أوسكار راتن",table1[[#This Row],[أسم العميل]]="شيك هومز"),"شركات","أفراد")</f>
        <v>شركات</v>
      </c>
      <c r="C27"/>
      <c r="D27" t="e">
        <v>#N/A</v>
      </c>
      <c r="E27" t="s">
        <v>51</v>
      </c>
      <c r="F27" t="s">
        <v>148</v>
      </c>
      <c r="G27" t="s">
        <v>163</v>
      </c>
      <c r="H27" t="s">
        <v>152</v>
      </c>
      <c r="I27">
        <v>100</v>
      </c>
      <c r="J27" t="s">
        <v>333</v>
      </c>
      <c r="K27" t="s">
        <v>333</v>
      </c>
      <c r="L27" t="s">
        <v>419</v>
      </c>
      <c r="M27" t="s">
        <v>50</v>
      </c>
      <c r="N27">
        <v>9208</v>
      </c>
      <c r="O27">
        <v>5781.75</v>
      </c>
      <c r="P27" s="68">
        <v>45536</v>
      </c>
      <c r="Q27" s="67">
        <v>45554</v>
      </c>
      <c r="R27" s="67">
        <v>45556</v>
      </c>
      <c r="S27" s="71">
        <f>IF(OR(ISBLANK(table1[[#This Row],[ميعاد الطلب]]),ISBLANK(table1[[#This Row],[ميعاد التسليم]])),0,table1[[#This Row],[ميعاد التسليم]]-table1[[#This Row],[ميعاد الطلب]])</f>
        <v>18</v>
      </c>
      <c r="T27" s="71">
        <f>IF(OR(ISBLANK(table1[[#This Row],[تاريخ التسليم]]),ISBLANK(table1[[#This Row],[ميعاد الطلب]]),ISBLANK(table1[[#This Row],[ميعاد التسليم]])),0,table1[[#This Row],[تاريخ التسليم]]-table1[[#This Row],[ميعاد الطلب]])</f>
        <v>20</v>
      </c>
      <c r="U27" s="80">
        <v>-2</v>
      </c>
      <c r="V27" s="80" t="str" cm="1">
        <f t="array" ref="V27">_xlfn.IFS(OR(table1[[#This Row],[Column4]]=0,table1[[#This Row],[Column4]]="0"),"لا يوجد تاريخ", table1[[#This Row],[Column4]]&gt;0,"تم التسليم قبل الموعد",table1[[#This Row],[Column4]]&lt;0,"تم التسليم بعد الموعد")</f>
        <v>تم التسليم بعد الموعد</v>
      </c>
      <c r="W27" t="s">
        <v>197</v>
      </c>
      <c r="X27" t="s">
        <v>196</v>
      </c>
      <c r="Y27" s="1" t="str">
        <f>TRIM(table1[[#This Row],[الحالة]])</f>
        <v>تم التسليم</v>
      </c>
    </row>
    <row r="28" spans="1:25" ht="20.100000000000001" customHeight="1" x14ac:dyDescent="0.3">
      <c r="A28" t="s">
        <v>51</v>
      </c>
      <c r="B28" t="str">
        <f>IF(OR(table1[[#This Row],[أسم العميل]]="تاكى",table1[[#This Row],[أسم العميل]]="أوسكار راتن",table1[[#This Row],[أسم العميل]]="شيك هومز"),"شركات","أفراد")</f>
        <v>شركات</v>
      </c>
      <c r="C28"/>
      <c r="D28" t="e">
        <v>#N/A</v>
      </c>
      <c r="E28" t="s">
        <v>51</v>
      </c>
      <c r="F28" t="s">
        <v>148</v>
      </c>
      <c r="G28" t="s">
        <v>163</v>
      </c>
      <c r="H28" t="s">
        <v>152</v>
      </c>
      <c r="I28">
        <v>100</v>
      </c>
      <c r="J28" t="s">
        <v>334</v>
      </c>
      <c r="K28" t="s">
        <v>334</v>
      </c>
      <c r="L28" t="s">
        <v>419</v>
      </c>
      <c r="M28" t="s">
        <v>52</v>
      </c>
      <c r="N28">
        <v>9208</v>
      </c>
      <c r="O28">
        <v>1278.53</v>
      </c>
      <c r="P28" s="68">
        <v>45536</v>
      </c>
      <c r="Q28" s="67">
        <v>45554</v>
      </c>
      <c r="R28" s="67">
        <v>45556</v>
      </c>
      <c r="S28" s="71">
        <f>IF(OR(ISBLANK(table1[[#This Row],[ميعاد الطلب]]),ISBLANK(table1[[#This Row],[ميعاد التسليم]])),0,table1[[#This Row],[ميعاد التسليم]]-table1[[#This Row],[ميعاد الطلب]])</f>
        <v>18</v>
      </c>
      <c r="T28" s="71">
        <f>IF(OR(ISBLANK(table1[[#This Row],[تاريخ التسليم]]),ISBLANK(table1[[#This Row],[ميعاد الطلب]]),ISBLANK(table1[[#This Row],[ميعاد التسليم]])),0,table1[[#This Row],[تاريخ التسليم]]-table1[[#This Row],[ميعاد الطلب]])</f>
        <v>20</v>
      </c>
      <c r="U28" s="80">
        <v>-2</v>
      </c>
      <c r="V28" s="80" t="str" cm="1">
        <f t="array" ref="V28">_xlfn.IFS(OR(table1[[#This Row],[Column4]]=0,table1[[#This Row],[Column4]]="0"),"لا يوجد تاريخ", table1[[#This Row],[Column4]]&gt;0,"تم التسليم قبل الموعد",table1[[#This Row],[Column4]]&lt;0,"تم التسليم بعد الموعد")</f>
        <v>تم التسليم بعد الموعد</v>
      </c>
      <c r="W28" t="s">
        <v>197</v>
      </c>
      <c r="X28" t="s">
        <v>196</v>
      </c>
      <c r="Y28" s="1" t="str">
        <f>TRIM(table1[[#This Row],[الحالة]])</f>
        <v>تم التسليم</v>
      </c>
    </row>
    <row r="29" spans="1:25" ht="20.100000000000001" customHeight="1" x14ac:dyDescent="0.3">
      <c r="A29" t="s">
        <v>81</v>
      </c>
      <c r="B29" t="str">
        <f>IF(OR(table1[[#This Row],[أسم العميل]]="تاكى",table1[[#This Row],[أسم العميل]]="أوسكار راتن",table1[[#This Row],[أسم العميل]]="شيك هومز"),"شركات","أفراد")</f>
        <v>شركات</v>
      </c>
      <c r="C29" t="s">
        <v>347</v>
      </c>
      <c r="D29" t="s">
        <v>348</v>
      </c>
      <c r="E29" t="s">
        <v>414</v>
      </c>
      <c r="F29" t="s">
        <v>148</v>
      </c>
      <c r="G29" t="s">
        <v>151</v>
      </c>
      <c r="H29" t="s">
        <v>175</v>
      </c>
      <c r="I29">
        <v>120</v>
      </c>
      <c r="J29" t="s">
        <v>333</v>
      </c>
      <c r="K29" t="s">
        <v>333</v>
      </c>
      <c r="L29" t="s">
        <v>419</v>
      </c>
      <c r="M29" t="s">
        <v>85</v>
      </c>
      <c r="N29">
        <v>4020</v>
      </c>
      <c r="O29" t="s">
        <v>83</v>
      </c>
      <c r="P29" s="68">
        <v>45547</v>
      </c>
      <c r="Q29" s="67">
        <v>45556</v>
      </c>
      <c r="R29" s="67">
        <v>45557</v>
      </c>
      <c r="S29" s="71">
        <f>IF(OR(ISBLANK(table1[[#This Row],[ميعاد الطلب]]),ISBLANK(table1[[#This Row],[ميعاد التسليم]])),0,table1[[#This Row],[ميعاد التسليم]]-table1[[#This Row],[ميعاد الطلب]])</f>
        <v>9</v>
      </c>
      <c r="T29" s="71">
        <f>IF(OR(ISBLANK(table1[[#This Row],[تاريخ التسليم]]),ISBLANK(table1[[#This Row],[ميعاد الطلب]]),ISBLANK(table1[[#This Row],[ميعاد التسليم]])),0,table1[[#This Row],[تاريخ التسليم]]-table1[[#This Row],[ميعاد الطلب]])</f>
        <v>10</v>
      </c>
      <c r="U29" s="80">
        <v>-1</v>
      </c>
      <c r="V29" s="80" t="str" cm="1">
        <f t="array" ref="V29">_xlfn.IFS(OR(table1[[#This Row],[Column4]]=0,table1[[#This Row],[Column4]]="0"),"لا يوجد تاريخ", table1[[#This Row],[Column4]]&gt;0,"تم التسليم قبل الموعد",table1[[#This Row],[Column4]]&lt;0,"تم التسليم بعد الموعد")</f>
        <v>تم التسليم بعد الموعد</v>
      </c>
      <c r="W29" t="s">
        <v>197</v>
      </c>
      <c r="X29" t="s">
        <v>196</v>
      </c>
      <c r="Y29" s="1" t="str">
        <f>TRIM(table1[[#This Row],[الحالة]])</f>
        <v>تم التسليم</v>
      </c>
    </row>
    <row r="30" spans="1:25" ht="20.100000000000001" customHeight="1" x14ac:dyDescent="0.3">
      <c r="A30" t="s">
        <v>81</v>
      </c>
      <c r="B30" t="str">
        <f>IF(OR(table1[[#This Row],[أسم العميل]]="تاكى",table1[[#This Row],[أسم العميل]]="أوسكار راتن",table1[[#This Row],[أسم العميل]]="شيك هومز"),"شركات","أفراد")</f>
        <v>شركات</v>
      </c>
      <c r="C30" t="s">
        <v>347</v>
      </c>
      <c r="D30" t="s">
        <v>348</v>
      </c>
      <c r="E30" t="s">
        <v>414</v>
      </c>
      <c r="F30" t="s">
        <v>148</v>
      </c>
      <c r="G30" t="s">
        <v>151</v>
      </c>
      <c r="H30" t="s">
        <v>175</v>
      </c>
      <c r="I30">
        <v>120</v>
      </c>
      <c r="J30" t="s">
        <v>333</v>
      </c>
      <c r="K30" t="s">
        <v>333</v>
      </c>
      <c r="L30" t="s">
        <v>419</v>
      </c>
      <c r="M30" t="s">
        <v>85</v>
      </c>
      <c r="N30">
        <v>4020</v>
      </c>
      <c r="O30" t="s">
        <v>83</v>
      </c>
      <c r="P30" s="68">
        <v>45547</v>
      </c>
      <c r="Q30" s="67">
        <v>45556</v>
      </c>
      <c r="R30" s="67">
        <v>45557</v>
      </c>
      <c r="S30" s="71">
        <f>IF(OR(ISBLANK(table1[[#This Row],[ميعاد الطلب]]),ISBLANK(table1[[#This Row],[ميعاد التسليم]])),0,table1[[#This Row],[ميعاد التسليم]]-table1[[#This Row],[ميعاد الطلب]])</f>
        <v>9</v>
      </c>
      <c r="T30" s="71">
        <f>IF(OR(ISBLANK(table1[[#This Row],[تاريخ التسليم]]),ISBLANK(table1[[#This Row],[ميعاد الطلب]]),ISBLANK(table1[[#This Row],[ميعاد التسليم]])),0,table1[[#This Row],[تاريخ التسليم]]-table1[[#This Row],[ميعاد الطلب]])</f>
        <v>10</v>
      </c>
      <c r="U30" s="80">
        <v>-1</v>
      </c>
      <c r="V30" s="80" t="str" cm="1">
        <f t="array" ref="V30">_xlfn.IFS(OR(table1[[#This Row],[Column4]]=0,table1[[#This Row],[Column4]]="0"),"لا يوجد تاريخ", table1[[#This Row],[Column4]]&gt;0,"تم التسليم قبل الموعد",table1[[#This Row],[Column4]]&lt;0,"تم التسليم بعد الموعد")</f>
        <v>تم التسليم بعد الموعد</v>
      </c>
      <c r="W30" t="s">
        <v>197</v>
      </c>
      <c r="X30" t="s">
        <v>196</v>
      </c>
      <c r="Y30" s="1" t="str">
        <f>TRIM(table1[[#This Row],[الحالة]])</f>
        <v>تم التسليم</v>
      </c>
    </row>
    <row r="31" spans="1:25" ht="20.100000000000001" customHeight="1" x14ac:dyDescent="0.3">
      <c r="A31" t="s">
        <v>81</v>
      </c>
      <c r="B31" t="str">
        <f>IF(OR(table1[[#This Row],[أسم العميل]]="تاكى",table1[[#This Row],[أسم العميل]]="أوسكار راتن",table1[[#This Row],[أسم العميل]]="شيك هومز"),"شركات","أفراد")</f>
        <v>شركات</v>
      </c>
      <c r="C31" t="s">
        <v>347</v>
      </c>
      <c r="D31" t="s">
        <v>348</v>
      </c>
      <c r="E31" t="s">
        <v>414</v>
      </c>
      <c r="F31" t="s">
        <v>148</v>
      </c>
      <c r="G31" t="s">
        <v>151</v>
      </c>
      <c r="H31" t="s">
        <v>167</v>
      </c>
      <c r="I31">
        <v>120</v>
      </c>
      <c r="J31" t="s">
        <v>334</v>
      </c>
      <c r="K31" t="s">
        <v>334</v>
      </c>
      <c r="L31" t="s">
        <v>419</v>
      </c>
      <c r="M31" t="s">
        <v>84</v>
      </c>
      <c r="N31">
        <v>4020</v>
      </c>
      <c r="O31" t="s">
        <v>113</v>
      </c>
      <c r="P31" s="68">
        <v>45547</v>
      </c>
      <c r="Q31" s="67">
        <v>45556</v>
      </c>
      <c r="R31" s="67">
        <v>45557</v>
      </c>
      <c r="S31" s="71">
        <f>IF(OR(ISBLANK(table1[[#This Row],[ميعاد الطلب]]),ISBLANK(table1[[#This Row],[ميعاد التسليم]])),0,table1[[#This Row],[ميعاد التسليم]]-table1[[#This Row],[ميعاد الطلب]])</f>
        <v>9</v>
      </c>
      <c r="T31" s="71">
        <f>IF(OR(ISBLANK(table1[[#This Row],[تاريخ التسليم]]),ISBLANK(table1[[#This Row],[ميعاد الطلب]]),ISBLANK(table1[[#This Row],[ميعاد التسليم]])),0,table1[[#This Row],[تاريخ التسليم]]-table1[[#This Row],[ميعاد الطلب]])</f>
        <v>10</v>
      </c>
      <c r="U31" s="80">
        <v>-1</v>
      </c>
      <c r="V31" s="80" t="str" cm="1">
        <f t="array" ref="V31">_xlfn.IFS(OR(table1[[#This Row],[Column4]]=0,table1[[#This Row],[Column4]]="0"),"لا يوجد تاريخ", table1[[#This Row],[Column4]]&gt;0,"تم التسليم قبل الموعد",table1[[#This Row],[Column4]]&lt;0,"تم التسليم بعد الموعد")</f>
        <v>تم التسليم بعد الموعد</v>
      </c>
      <c r="W31" t="s">
        <v>197</v>
      </c>
      <c r="X31" t="s">
        <v>196</v>
      </c>
      <c r="Y31" s="1" t="str">
        <f>TRIM(table1[[#This Row],[الحالة]])</f>
        <v>تم التسليم</v>
      </c>
    </row>
    <row r="32" spans="1:25" ht="20.100000000000001" customHeight="1" x14ac:dyDescent="0.3">
      <c r="A32" t="s">
        <v>81</v>
      </c>
      <c r="B32" t="str">
        <f>IF(OR(table1[[#This Row],[أسم العميل]]="تاكى",table1[[#This Row],[أسم العميل]]="أوسكار راتن",table1[[#This Row],[أسم العميل]]="شيك هومز"),"شركات","أفراد")</f>
        <v>شركات</v>
      </c>
      <c r="C32" t="s">
        <v>347</v>
      </c>
      <c r="D32" t="s">
        <v>348</v>
      </c>
      <c r="E32" t="s">
        <v>414</v>
      </c>
      <c r="F32" t="s">
        <v>148</v>
      </c>
      <c r="G32" t="s">
        <v>151</v>
      </c>
      <c r="H32" t="s">
        <v>167</v>
      </c>
      <c r="I32">
        <v>120</v>
      </c>
      <c r="J32" t="s">
        <v>334</v>
      </c>
      <c r="K32" t="s">
        <v>334</v>
      </c>
      <c r="L32" t="s">
        <v>419</v>
      </c>
      <c r="M32" t="s">
        <v>84</v>
      </c>
      <c r="N32">
        <v>4020</v>
      </c>
      <c r="O32" t="s">
        <v>113</v>
      </c>
      <c r="P32" s="68">
        <v>45547</v>
      </c>
      <c r="Q32" s="67">
        <v>45556</v>
      </c>
      <c r="R32" s="67">
        <v>45557</v>
      </c>
      <c r="S32" s="71">
        <f>IF(OR(ISBLANK(table1[[#This Row],[ميعاد الطلب]]),ISBLANK(table1[[#This Row],[ميعاد التسليم]])),0,table1[[#This Row],[ميعاد التسليم]]-table1[[#This Row],[ميعاد الطلب]])</f>
        <v>9</v>
      </c>
      <c r="T32" s="71">
        <f>IF(OR(ISBLANK(table1[[#This Row],[تاريخ التسليم]]),ISBLANK(table1[[#This Row],[ميعاد الطلب]]),ISBLANK(table1[[#This Row],[ميعاد التسليم]])),0,table1[[#This Row],[تاريخ التسليم]]-table1[[#This Row],[ميعاد الطلب]])</f>
        <v>10</v>
      </c>
      <c r="U32" s="80">
        <v>-1</v>
      </c>
      <c r="V32" s="80" t="str" cm="1">
        <f t="array" ref="V32">_xlfn.IFS(OR(table1[[#This Row],[Column4]]=0,table1[[#This Row],[Column4]]="0"),"لا يوجد تاريخ", table1[[#This Row],[Column4]]&gt;0,"تم التسليم قبل الموعد",table1[[#This Row],[Column4]]&lt;0,"تم التسليم بعد الموعد")</f>
        <v>تم التسليم بعد الموعد</v>
      </c>
      <c r="W32" t="s">
        <v>197</v>
      </c>
      <c r="X32" t="s">
        <v>196</v>
      </c>
      <c r="Y32" s="1" t="str">
        <f>TRIM(table1[[#This Row],[الحالة]])</f>
        <v>تم التسليم</v>
      </c>
    </row>
    <row r="33" spans="1:25" ht="20.100000000000001" customHeight="1" x14ac:dyDescent="0.3">
      <c r="A33" t="s">
        <v>141</v>
      </c>
      <c r="B33" t="str">
        <f>IF(OR(table1[[#This Row],[أسم العميل]]="تاكى",table1[[#This Row],[أسم العميل]]="أوسكار راتن",table1[[#This Row],[أسم العميل]]="شيك هومز"),"شركات","أفراد")</f>
        <v>أفراد</v>
      </c>
      <c r="C33" t="s">
        <v>142</v>
      </c>
      <c r="D33" t="s">
        <v>349</v>
      </c>
      <c r="E33" t="s">
        <v>7</v>
      </c>
      <c r="F33" t="s">
        <v>148</v>
      </c>
      <c r="G33" t="s">
        <v>149</v>
      </c>
      <c r="H33"/>
      <c r="I33"/>
      <c r="J33" t="s">
        <v>334</v>
      </c>
      <c r="K33" t="s">
        <v>334</v>
      </c>
      <c r="L33" t="s">
        <v>334</v>
      </c>
      <c r="M33" t="s">
        <v>143</v>
      </c>
      <c r="N33">
        <v>9399</v>
      </c>
      <c r="O33" t="s">
        <v>113</v>
      </c>
      <c r="P33" s="68" t="s">
        <v>367</v>
      </c>
      <c r="Q33" s="67">
        <v>45557</v>
      </c>
      <c r="R33" s="67"/>
      <c r="S33" s="71"/>
      <c r="T33" s="71">
        <f>IF(OR(ISBLANK(table1[[#This Row],[تاريخ التسليم]]),ISBLANK(table1[[#This Row],[ميعاد الطلب]]),ISBLANK(table1[[#This Row],[ميعاد التسليم]])),0,table1[[#This Row],[تاريخ التسليم]]-table1[[#This Row],[ميعاد الطلب]])</f>
        <v>0</v>
      </c>
      <c r="U33" s="80" t="s">
        <v>429</v>
      </c>
      <c r="V33" s="80" t="str" cm="1">
        <f t="array" ref="V33">_xlfn.IFS(OR(table1[[#This Row],[Column4]]=0,table1[[#This Row],[Column4]]="0"),"لا يوجد تاريخ", table1[[#This Row],[Column4]]&gt;0,"تم التسليم قبل الموعد",table1[[#This Row],[Column4]]&lt;0,"تم التسليم بعد الموعد")</f>
        <v>لا يوجد تاريخ</v>
      </c>
      <c r="W33" t="s">
        <v>36</v>
      </c>
      <c r="X33" t="s">
        <v>190</v>
      </c>
      <c r="Y33" s="1" t="str">
        <f>TRIM(table1[[#This Row],[الحالة]])</f>
        <v>فشل التسليم</v>
      </c>
    </row>
    <row r="34" spans="1:25" ht="20.100000000000001" customHeight="1" x14ac:dyDescent="0.3">
      <c r="A34" t="s">
        <v>145</v>
      </c>
      <c r="B34" t="str">
        <f>IF(OR(table1[[#This Row],[أسم العميل]]="تاكى",table1[[#This Row],[أسم العميل]]="أوسكار راتن",table1[[#This Row],[أسم العميل]]="شيك هومز"),"شركات","أفراد")</f>
        <v>أفراد</v>
      </c>
      <c r="C34" t="s">
        <v>350</v>
      </c>
      <c r="D34" t="s">
        <v>340</v>
      </c>
      <c r="E34" t="s">
        <v>7</v>
      </c>
      <c r="F34" t="s">
        <v>155</v>
      </c>
      <c r="G34" t="s">
        <v>187</v>
      </c>
      <c r="H34"/>
      <c r="I34"/>
      <c r="J34" t="s">
        <v>419</v>
      </c>
      <c r="K34" t="s">
        <v>419</v>
      </c>
      <c r="L34" t="s">
        <v>419</v>
      </c>
      <c r="M34" t="s">
        <v>147</v>
      </c>
      <c r="N34">
        <v>8349</v>
      </c>
      <c r="O34" t="s">
        <v>113</v>
      </c>
      <c r="P34" s="68">
        <v>45549</v>
      </c>
      <c r="Q34" s="67">
        <v>45557</v>
      </c>
      <c r="R34" s="67">
        <v>45559</v>
      </c>
      <c r="S34" s="71">
        <f>IF(OR(ISBLANK(table1[[#This Row],[ميعاد الطلب]]),ISBLANK(table1[[#This Row],[ميعاد التسليم]])),0,table1[[#This Row],[ميعاد التسليم]]-table1[[#This Row],[ميعاد الطلب]])</f>
        <v>8</v>
      </c>
      <c r="T34" s="71">
        <f>IF(OR(ISBLANK(table1[[#This Row],[تاريخ التسليم]]),ISBLANK(table1[[#This Row],[ميعاد الطلب]]),ISBLANK(table1[[#This Row],[ميعاد التسليم]])),0,table1[[#This Row],[تاريخ التسليم]]-table1[[#This Row],[ميعاد الطلب]])</f>
        <v>10</v>
      </c>
      <c r="U34" s="80">
        <v>-2</v>
      </c>
      <c r="V34" s="80" t="str" cm="1">
        <f t="array" ref="V34">_xlfn.IFS(OR(table1[[#This Row],[Column4]]=0,table1[[#This Row],[Column4]]="0"),"لا يوجد تاريخ", table1[[#This Row],[Column4]]&gt;0,"تم التسليم قبل الموعد",table1[[#This Row],[Column4]]&lt;0,"تم التسليم بعد الموعد")</f>
        <v>تم التسليم بعد الموعد</v>
      </c>
      <c r="W34" t="s">
        <v>27</v>
      </c>
      <c r="X34" t="s">
        <v>196</v>
      </c>
      <c r="Y34" s="1" t="str">
        <f>TRIM(table1[[#This Row],[الحالة]])</f>
        <v>تم التسليم</v>
      </c>
    </row>
    <row r="35" spans="1:25" ht="20.100000000000001" customHeight="1" x14ac:dyDescent="0.3">
      <c r="A35" t="s">
        <v>386</v>
      </c>
      <c r="B35" t="str">
        <f>IF(OR(table1[[#This Row],[أسم العميل]]="تاكى",table1[[#This Row],[أسم العميل]]="أوسكار راتن",table1[[#This Row],[أسم العميل]]="شيك هومز"),"شركات","أفراد")</f>
        <v>أفراد</v>
      </c>
      <c r="C35" t="s">
        <v>276</v>
      </c>
      <c r="D35" t="s">
        <v>339</v>
      </c>
      <c r="E35" t="s">
        <v>7</v>
      </c>
      <c r="F35" t="s">
        <v>148</v>
      </c>
      <c r="G35" t="s">
        <v>149</v>
      </c>
      <c r="H35"/>
      <c r="I35"/>
      <c r="J35" t="s">
        <v>334</v>
      </c>
      <c r="K35" t="s">
        <v>334</v>
      </c>
      <c r="L35" t="s">
        <v>334</v>
      </c>
      <c r="M35" t="s">
        <v>103</v>
      </c>
      <c r="N35">
        <v>9399</v>
      </c>
      <c r="O35" t="s">
        <v>15</v>
      </c>
      <c r="P35" s="68">
        <v>45548</v>
      </c>
      <c r="Q35" s="67">
        <v>45559</v>
      </c>
      <c r="R35" s="67">
        <v>45565</v>
      </c>
      <c r="S35" s="71">
        <f>IF(OR(ISBLANK(table1[[#This Row],[ميعاد الطلب]]),ISBLANK(table1[[#This Row],[ميعاد التسليم]])),0,table1[[#This Row],[ميعاد التسليم]]-table1[[#This Row],[ميعاد الطلب]])</f>
        <v>11</v>
      </c>
      <c r="T35" s="71">
        <f>IF(OR(ISBLANK(table1[[#This Row],[تاريخ التسليم]]),ISBLANK(table1[[#This Row],[ميعاد الطلب]]),ISBLANK(table1[[#This Row],[ميعاد التسليم]])),0,table1[[#This Row],[تاريخ التسليم]]-table1[[#This Row],[ميعاد الطلب]])</f>
        <v>17</v>
      </c>
      <c r="U35" s="80">
        <v>-6</v>
      </c>
      <c r="V35" s="80" t="str" cm="1">
        <f t="array" ref="V35">_xlfn.IFS(OR(table1[[#This Row],[Column4]]=0,table1[[#This Row],[Column4]]="0"),"لا يوجد تاريخ", table1[[#This Row],[Column4]]&gt;0,"تم التسليم قبل الموعد",table1[[#This Row],[Column4]]&lt;0,"تم التسليم بعد الموعد")</f>
        <v>تم التسليم بعد الموعد</v>
      </c>
      <c r="W35" t="s">
        <v>27</v>
      </c>
      <c r="X35" t="s">
        <v>196</v>
      </c>
      <c r="Y35" s="1" t="str">
        <f>TRIM(table1[[#This Row],[الحالة]])</f>
        <v>تم التسليم</v>
      </c>
    </row>
    <row r="36" spans="1:25" ht="20.100000000000001" customHeight="1" x14ac:dyDescent="0.3">
      <c r="A36" t="s">
        <v>387</v>
      </c>
      <c r="B36" t="str">
        <f>IF(OR(table1[[#This Row],[أسم العميل]]="تاكى",table1[[#This Row],[أسم العميل]]="أوسكار راتن",table1[[#This Row],[أسم العميل]]="شيك هومز"),"شركات","أفراد")</f>
        <v>أفراد</v>
      </c>
      <c r="C36" t="s">
        <v>308</v>
      </c>
      <c r="D36" t="s">
        <v>344</v>
      </c>
      <c r="E36" t="s">
        <v>7</v>
      </c>
      <c r="F36" t="s">
        <v>155</v>
      </c>
      <c r="G36" t="s">
        <v>185</v>
      </c>
      <c r="H36"/>
      <c r="I36"/>
      <c r="J36" t="s">
        <v>419</v>
      </c>
      <c r="K36" t="s">
        <v>419</v>
      </c>
      <c r="L36" t="s">
        <v>419</v>
      </c>
      <c r="M36" t="s">
        <v>62</v>
      </c>
      <c r="N36">
        <v>7849</v>
      </c>
      <c r="O36">
        <v>7928</v>
      </c>
      <c r="P36" s="68">
        <v>45547</v>
      </c>
      <c r="Q36" s="67">
        <v>45561</v>
      </c>
      <c r="R36" s="67"/>
      <c r="S36" s="71">
        <f>IF(OR(ISBLANK(table1[[#This Row],[ميعاد الطلب]]),ISBLANK(table1[[#This Row],[ميعاد التسليم]])),0,table1[[#This Row],[ميعاد التسليم]]-table1[[#This Row],[ميعاد الطلب]])</f>
        <v>14</v>
      </c>
      <c r="T36" s="71">
        <f>IF(OR(ISBLANK(table1[[#This Row],[تاريخ التسليم]]),ISBLANK(table1[[#This Row],[ميعاد الطلب]]),ISBLANK(table1[[#This Row],[ميعاد التسليم]])),0,table1[[#This Row],[تاريخ التسليم]]-table1[[#This Row],[ميعاد الطلب]])</f>
        <v>0</v>
      </c>
      <c r="U36" s="80" t="s">
        <v>429</v>
      </c>
      <c r="V36" s="80" t="str" cm="1">
        <f t="array" ref="V36">_xlfn.IFS(OR(table1[[#This Row],[Column4]]=0,table1[[#This Row],[Column4]]="0"),"لا يوجد تاريخ", table1[[#This Row],[Column4]]&gt;0,"تم التسليم قبل الموعد",table1[[#This Row],[Column4]]&lt;0,"تم التسليم بعد الموعد")</f>
        <v>لا يوجد تاريخ</v>
      </c>
      <c r="W36" t="s">
        <v>27</v>
      </c>
      <c r="X36" t="s">
        <v>196</v>
      </c>
      <c r="Y36" s="1" t="str">
        <f>TRIM(table1[[#This Row],[الحالة]])</f>
        <v>تم التسليم</v>
      </c>
    </row>
    <row r="37" spans="1:25" ht="20.100000000000001" customHeight="1" x14ac:dyDescent="0.3">
      <c r="A37" t="s">
        <v>78</v>
      </c>
      <c r="B37" t="str">
        <f>IF(OR(table1[[#This Row],[أسم العميل]]="تاكى",table1[[#This Row],[أسم العميل]]="أوسكار راتن",table1[[#This Row],[أسم العميل]]="شيك هومز"),"شركات","أفراد")</f>
        <v>أفراد</v>
      </c>
      <c r="C37" t="s">
        <v>351</v>
      </c>
      <c r="D37" t="s">
        <v>339</v>
      </c>
      <c r="E37" t="s">
        <v>34</v>
      </c>
      <c r="F37" t="s">
        <v>148</v>
      </c>
      <c r="G37" t="s">
        <v>169</v>
      </c>
      <c r="H37" t="s">
        <v>153</v>
      </c>
      <c r="I37">
        <v>100</v>
      </c>
      <c r="J37" t="s">
        <v>334</v>
      </c>
      <c r="K37" t="s">
        <v>334</v>
      </c>
      <c r="L37" t="s">
        <v>419</v>
      </c>
      <c r="M37" t="s">
        <v>80</v>
      </c>
      <c r="N37">
        <v>9450</v>
      </c>
      <c r="O37">
        <v>9450</v>
      </c>
      <c r="P37" s="68">
        <v>45547</v>
      </c>
      <c r="Q37" s="67">
        <v>45561</v>
      </c>
      <c r="R37" s="67"/>
      <c r="S37" s="71">
        <f>IF(OR(ISBLANK(table1[[#This Row],[ميعاد الطلب]]),ISBLANK(table1[[#This Row],[ميعاد التسليم]])),0,table1[[#This Row],[ميعاد التسليم]]-table1[[#This Row],[ميعاد الطلب]])</f>
        <v>14</v>
      </c>
      <c r="T37" s="71">
        <f>IF(OR(ISBLANK(table1[[#This Row],[تاريخ التسليم]]),ISBLANK(table1[[#This Row],[ميعاد الطلب]]),ISBLANK(table1[[#This Row],[ميعاد التسليم]])),0,table1[[#This Row],[تاريخ التسليم]]-table1[[#This Row],[ميعاد الطلب]])</f>
        <v>0</v>
      </c>
      <c r="U37" s="80" t="s">
        <v>429</v>
      </c>
      <c r="V37" s="80" t="str" cm="1">
        <f t="array" ref="V37">_xlfn.IFS(OR(table1[[#This Row],[Column4]]=0,table1[[#This Row],[Column4]]="0"),"لا يوجد تاريخ", table1[[#This Row],[Column4]]&gt;0,"تم التسليم قبل الموعد",table1[[#This Row],[Column4]]&lt;0,"تم التسليم بعد الموعد")</f>
        <v>لا يوجد تاريخ</v>
      </c>
      <c r="W37"/>
      <c r="X37" t="s">
        <v>234</v>
      </c>
      <c r="Y37" s="1" t="str">
        <f>TRIM(table1[[#This Row],[الحالة]])</f>
        <v>لاغى</v>
      </c>
    </row>
    <row r="38" spans="1:25" ht="20.100000000000001" customHeight="1" x14ac:dyDescent="0.3">
      <c r="A38" t="s">
        <v>388</v>
      </c>
      <c r="B38" t="str">
        <f>IF(OR(table1[[#This Row],[أسم العميل]]="تاكى",table1[[#This Row],[أسم العميل]]="أوسكار راتن",table1[[#This Row],[أسم العميل]]="شيك هومز"),"شركات","أفراد")</f>
        <v>أفراد</v>
      </c>
      <c r="C38" t="s">
        <v>66</v>
      </c>
      <c r="D38" t="s">
        <v>344</v>
      </c>
      <c r="E38" t="s">
        <v>7</v>
      </c>
      <c r="F38" t="s">
        <v>148</v>
      </c>
      <c r="G38" t="s">
        <v>151</v>
      </c>
      <c r="H38" t="s">
        <v>154</v>
      </c>
      <c r="I38">
        <v>120</v>
      </c>
      <c r="J38" t="s">
        <v>334</v>
      </c>
      <c r="K38" t="s">
        <v>334</v>
      </c>
      <c r="L38" t="s">
        <v>419</v>
      </c>
      <c r="M38" t="s">
        <v>94</v>
      </c>
      <c r="N38">
        <v>7460</v>
      </c>
      <c r="O38" t="s">
        <v>15</v>
      </c>
      <c r="P38" s="68">
        <v>45548</v>
      </c>
      <c r="Q38" s="67">
        <v>45561</v>
      </c>
      <c r="R38" s="67">
        <v>45568</v>
      </c>
      <c r="S38" s="71">
        <f>IF(OR(ISBLANK(table1[[#This Row],[ميعاد الطلب]]),ISBLANK(table1[[#This Row],[ميعاد التسليم]])),0,table1[[#This Row],[ميعاد التسليم]]-table1[[#This Row],[ميعاد الطلب]])</f>
        <v>13</v>
      </c>
      <c r="T38" s="71">
        <f>IF(OR(ISBLANK(table1[[#This Row],[تاريخ التسليم]]),ISBLANK(table1[[#This Row],[ميعاد الطلب]]),ISBLANK(table1[[#This Row],[ميعاد التسليم]])),0,table1[[#This Row],[تاريخ التسليم]]-table1[[#This Row],[ميعاد الطلب]])</f>
        <v>20</v>
      </c>
      <c r="U38" s="80">
        <v>-7</v>
      </c>
      <c r="V38" s="80" t="str" cm="1">
        <f t="array" ref="V38">_xlfn.IFS(OR(table1[[#This Row],[Column4]]=0,table1[[#This Row],[Column4]]="0"),"لا يوجد تاريخ", table1[[#This Row],[Column4]]&gt;0,"تم التسليم قبل الموعد",table1[[#This Row],[Column4]]&lt;0,"تم التسليم بعد الموعد")</f>
        <v>تم التسليم بعد الموعد</v>
      </c>
      <c r="W38" t="s">
        <v>197</v>
      </c>
      <c r="X38" t="s">
        <v>196</v>
      </c>
      <c r="Y38" s="1" t="str">
        <f>TRIM(table1[[#This Row],[الحالة]])</f>
        <v>تم التسليم</v>
      </c>
    </row>
    <row r="39" spans="1:25" ht="20.100000000000001" customHeight="1" x14ac:dyDescent="0.3">
      <c r="A39" t="s">
        <v>97</v>
      </c>
      <c r="B39" t="str">
        <f>IF(OR(table1[[#This Row],[أسم العميل]]="تاكى",table1[[#This Row],[أسم العميل]]="أوسكار راتن",table1[[#This Row],[أسم العميل]]="شيك هومز"),"شركات","أفراد")</f>
        <v>أفراد</v>
      </c>
      <c r="C39" t="s">
        <v>66</v>
      </c>
      <c r="D39" t="s">
        <v>344</v>
      </c>
      <c r="E39" t="s">
        <v>7</v>
      </c>
      <c r="F39" t="s">
        <v>148</v>
      </c>
      <c r="G39" t="s">
        <v>151</v>
      </c>
      <c r="H39" t="s">
        <v>176</v>
      </c>
      <c r="I39">
        <v>140</v>
      </c>
      <c r="J39" t="s">
        <v>174</v>
      </c>
      <c r="K39" t="s">
        <v>174</v>
      </c>
      <c r="L39" t="s">
        <v>170</v>
      </c>
      <c r="M39" t="s">
        <v>98</v>
      </c>
      <c r="N39">
        <v>9528</v>
      </c>
      <c r="O39" t="s">
        <v>15</v>
      </c>
      <c r="P39" s="68">
        <v>45548</v>
      </c>
      <c r="Q39" s="67">
        <v>45561</v>
      </c>
      <c r="R39" s="67">
        <v>45568</v>
      </c>
      <c r="S39" s="71">
        <f>IF(OR(ISBLANK(table1[[#This Row],[ميعاد الطلب]]),ISBLANK(table1[[#This Row],[ميعاد التسليم]])),0,table1[[#This Row],[ميعاد التسليم]]-table1[[#This Row],[ميعاد الطلب]])</f>
        <v>13</v>
      </c>
      <c r="T39" s="71">
        <f>IF(OR(ISBLANK(table1[[#This Row],[تاريخ التسليم]]),ISBLANK(table1[[#This Row],[ميعاد الطلب]]),ISBLANK(table1[[#This Row],[ميعاد التسليم]])),0,table1[[#This Row],[تاريخ التسليم]]-table1[[#This Row],[ميعاد الطلب]])</f>
        <v>20</v>
      </c>
      <c r="U39" s="80">
        <v>-7</v>
      </c>
      <c r="V39" s="80" t="str" cm="1">
        <f t="array" ref="V39">_xlfn.IFS(OR(table1[[#This Row],[Column4]]=0,table1[[#This Row],[Column4]]="0"),"لا يوجد تاريخ", table1[[#This Row],[Column4]]&gt;0,"تم التسليم قبل الموعد",table1[[#This Row],[Column4]]&lt;0,"تم التسليم بعد الموعد")</f>
        <v>تم التسليم بعد الموعد</v>
      </c>
      <c r="W39" t="s">
        <v>197</v>
      </c>
      <c r="X39" t="s">
        <v>196</v>
      </c>
      <c r="Y39" s="1" t="str">
        <f>TRIM(table1[[#This Row],[الحالة]])</f>
        <v>تم التسليم</v>
      </c>
    </row>
    <row r="40" spans="1:25" ht="20.100000000000001" customHeight="1" x14ac:dyDescent="0.3">
      <c r="A40" t="s">
        <v>389</v>
      </c>
      <c r="B40" t="str">
        <f>IF(OR(table1[[#This Row],[أسم العميل]]="تاكى",table1[[#This Row],[أسم العميل]]="أوسكار راتن",table1[[#This Row],[أسم العميل]]="شيك هومز"),"شركات","أفراد")</f>
        <v>أفراد</v>
      </c>
      <c r="C40" t="s">
        <v>276</v>
      </c>
      <c r="D40" t="s">
        <v>339</v>
      </c>
      <c r="E40" t="s">
        <v>7</v>
      </c>
      <c r="F40" t="s">
        <v>148</v>
      </c>
      <c r="G40" t="s">
        <v>163</v>
      </c>
      <c r="H40" t="s">
        <v>153</v>
      </c>
      <c r="I40">
        <v>120</v>
      </c>
      <c r="J40" t="s">
        <v>170</v>
      </c>
      <c r="K40" t="s">
        <v>170</v>
      </c>
      <c r="L40" t="s">
        <v>419</v>
      </c>
      <c r="M40" t="s">
        <v>140</v>
      </c>
      <c r="N40">
        <v>12999</v>
      </c>
      <c r="O40" t="s">
        <v>15</v>
      </c>
      <c r="P40" s="68">
        <v>45549</v>
      </c>
      <c r="Q40" s="67">
        <v>45562</v>
      </c>
      <c r="R40" s="67">
        <v>45567</v>
      </c>
      <c r="S40" s="71">
        <f>IF(OR(ISBLANK(table1[[#This Row],[ميعاد الطلب]]),ISBLANK(table1[[#This Row],[ميعاد التسليم]])),0,table1[[#This Row],[ميعاد التسليم]]-table1[[#This Row],[ميعاد الطلب]])</f>
        <v>13</v>
      </c>
      <c r="T40" s="71">
        <f>IF(OR(ISBLANK(table1[[#This Row],[تاريخ التسليم]]),ISBLANK(table1[[#This Row],[ميعاد الطلب]]),ISBLANK(table1[[#This Row],[ميعاد التسليم]])),0,table1[[#This Row],[تاريخ التسليم]]-table1[[#This Row],[ميعاد الطلب]])</f>
        <v>18</v>
      </c>
      <c r="U40" s="80">
        <v>-5</v>
      </c>
      <c r="V40" s="80" t="str" cm="1">
        <f t="array" ref="V40">_xlfn.IFS(OR(table1[[#This Row],[Column4]]=0,table1[[#This Row],[Column4]]="0"),"لا يوجد تاريخ", table1[[#This Row],[Column4]]&gt;0,"تم التسليم قبل الموعد",table1[[#This Row],[Column4]]&lt;0,"تم التسليم بعد الموعد")</f>
        <v>تم التسليم بعد الموعد</v>
      </c>
      <c r="W40" t="s">
        <v>197</v>
      </c>
      <c r="X40" t="s">
        <v>196</v>
      </c>
      <c r="Y40" s="1" t="str">
        <f>TRIM(table1[[#This Row],[الحالة]])</f>
        <v>تم التسليم</v>
      </c>
    </row>
    <row r="41" spans="1:25" ht="20.100000000000001" customHeight="1" x14ac:dyDescent="0.3">
      <c r="A41" t="s">
        <v>390</v>
      </c>
      <c r="B41" t="str">
        <f>IF(OR(table1[[#This Row],[أسم العميل]]="تاكى",table1[[#This Row],[أسم العميل]]="أوسكار راتن",table1[[#This Row],[أسم العميل]]="شيك هومز"),"شركات","أفراد")</f>
        <v>أفراد</v>
      </c>
      <c r="C41" t="s">
        <v>352</v>
      </c>
      <c r="D41" t="s">
        <v>344</v>
      </c>
      <c r="E41" t="s">
        <v>7</v>
      </c>
      <c r="F41" t="s">
        <v>148</v>
      </c>
      <c r="G41" t="s">
        <v>163</v>
      </c>
      <c r="H41" t="s">
        <v>150</v>
      </c>
      <c r="I41">
        <v>90</v>
      </c>
      <c r="J41" t="s">
        <v>334</v>
      </c>
      <c r="K41" t="s">
        <v>334</v>
      </c>
      <c r="L41" t="s">
        <v>419</v>
      </c>
      <c r="M41" t="s">
        <v>76</v>
      </c>
      <c r="N41">
        <v>5999</v>
      </c>
      <c r="O41" t="s">
        <v>15</v>
      </c>
      <c r="P41" s="68">
        <v>45547</v>
      </c>
      <c r="Q41" s="67">
        <v>45564</v>
      </c>
      <c r="R41" s="67"/>
      <c r="S41" s="71">
        <f>IF(OR(ISBLANK(table1[[#This Row],[ميعاد الطلب]]),ISBLANK(table1[[#This Row],[ميعاد التسليم]])),0,table1[[#This Row],[ميعاد التسليم]]-table1[[#This Row],[ميعاد الطلب]])</f>
        <v>17</v>
      </c>
      <c r="T41" s="71">
        <f>IF(OR(ISBLANK(table1[[#This Row],[تاريخ التسليم]]),ISBLANK(table1[[#This Row],[ميعاد الطلب]]),ISBLANK(table1[[#This Row],[ميعاد التسليم]])),0,table1[[#This Row],[تاريخ التسليم]]-table1[[#This Row],[ميعاد الطلب]])</f>
        <v>0</v>
      </c>
      <c r="U41" s="80" t="s">
        <v>429</v>
      </c>
      <c r="V41" s="80" t="str" cm="1">
        <f t="array" ref="V41">_xlfn.IFS(OR(table1[[#This Row],[Column4]]=0,table1[[#This Row],[Column4]]="0"),"لا يوجد تاريخ", table1[[#This Row],[Column4]]&gt;0,"تم التسليم قبل الموعد",table1[[#This Row],[Column4]]&lt;0,"تم التسليم بعد الموعد")</f>
        <v>لا يوجد تاريخ</v>
      </c>
      <c r="W41"/>
      <c r="X41"/>
      <c r="Y41" s="1" t="str">
        <f>TRIM(table1[[#This Row],[الحالة]])</f>
        <v/>
      </c>
    </row>
    <row r="42" spans="1:25" ht="20.100000000000001" customHeight="1" x14ac:dyDescent="0.3">
      <c r="A42" t="s">
        <v>391</v>
      </c>
      <c r="B42" t="str">
        <f>IF(OR(table1[[#This Row],[أسم العميل]]="تاكى",table1[[#This Row],[أسم العميل]]="أوسكار راتن",table1[[#This Row],[أسم العميل]]="شيك هومز"),"شركات","أفراد")</f>
        <v>أفراد</v>
      </c>
      <c r="C42" t="s">
        <v>353</v>
      </c>
      <c r="D42" t="s">
        <v>339</v>
      </c>
      <c r="E42" t="s">
        <v>7</v>
      </c>
      <c r="F42" t="s">
        <v>148</v>
      </c>
      <c r="G42" t="s">
        <v>163</v>
      </c>
      <c r="H42" t="s">
        <v>153</v>
      </c>
      <c r="I42">
        <v>100</v>
      </c>
      <c r="J42" t="s">
        <v>334</v>
      </c>
      <c r="K42" t="s">
        <v>334</v>
      </c>
      <c r="L42" t="s">
        <v>419</v>
      </c>
      <c r="M42" t="s">
        <v>77</v>
      </c>
      <c r="N42">
        <v>11949</v>
      </c>
      <c r="O42">
        <v>10749</v>
      </c>
      <c r="P42" s="68">
        <v>45547</v>
      </c>
      <c r="Q42" s="67">
        <v>45564</v>
      </c>
      <c r="R42" s="67">
        <v>45567</v>
      </c>
      <c r="S42" s="71">
        <f>IF(OR(ISBLANK(table1[[#This Row],[ميعاد الطلب]]),ISBLANK(table1[[#This Row],[ميعاد التسليم]])),0,table1[[#This Row],[ميعاد التسليم]]-table1[[#This Row],[ميعاد الطلب]])</f>
        <v>17</v>
      </c>
      <c r="T42" s="71">
        <f>IF(OR(ISBLANK(table1[[#This Row],[تاريخ التسليم]]),ISBLANK(table1[[#This Row],[ميعاد الطلب]]),ISBLANK(table1[[#This Row],[ميعاد التسليم]])),0,table1[[#This Row],[تاريخ التسليم]]-table1[[#This Row],[ميعاد الطلب]])</f>
        <v>20</v>
      </c>
      <c r="U42" s="80">
        <v>-3</v>
      </c>
      <c r="V42" s="80" t="str" cm="1">
        <f t="array" ref="V42">_xlfn.IFS(OR(table1[[#This Row],[Column4]]=0,table1[[#This Row],[Column4]]="0"),"لا يوجد تاريخ", table1[[#This Row],[Column4]]&gt;0,"تم التسليم قبل الموعد",table1[[#This Row],[Column4]]&lt;0,"تم التسليم بعد الموعد")</f>
        <v>تم التسليم بعد الموعد</v>
      </c>
      <c r="W42" t="s">
        <v>197</v>
      </c>
      <c r="X42" t="s">
        <v>196</v>
      </c>
      <c r="Y42" s="1" t="str">
        <f>TRIM(table1[[#This Row],[الحالة]])</f>
        <v>تم التسليم</v>
      </c>
    </row>
    <row r="43" spans="1:25" ht="20.100000000000001" customHeight="1" x14ac:dyDescent="0.3">
      <c r="A43" t="s">
        <v>391</v>
      </c>
      <c r="B43" t="str">
        <f>IF(OR(table1[[#This Row],[أسم العميل]]="تاكى",table1[[#This Row],[أسم العميل]]="أوسكار راتن",table1[[#This Row],[أسم العميل]]="شيك هومز"),"شركات","أفراد")</f>
        <v>أفراد</v>
      </c>
      <c r="C43" t="s">
        <v>353</v>
      </c>
      <c r="D43" t="s">
        <v>339</v>
      </c>
      <c r="E43" t="s">
        <v>7</v>
      </c>
      <c r="F43" t="s">
        <v>148</v>
      </c>
      <c r="G43" t="s">
        <v>163</v>
      </c>
      <c r="H43" t="s">
        <v>153</v>
      </c>
      <c r="I43">
        <v>100</v>
      </c>
      <c r="J43" t="s">
        <v>334</v>
      </c>
      <c r="K43" t="s">
        <v>334</v>
      </c>
      <c r="L43" t="s">
        <v>419</v>
      </c>
      <c r="M43" t="s">
        <v>77</v>
      </c>
      <c r="N43">
        <v>11949</v>
      </c>
      <c r="O43">
        <v>10749</v>
      </c>
      <c r="P43" s="68">
        <v>45547</v>
      </c>
      <c r="Q43" s="67">
        <v>45564</v>
      </c>
      <c r="R43" s="67">
        <v>45567</v>
      </c>
      <c r="S43" s="71">
        <f>IF(OR(ISBLANK(table1[[#This Row],[ميعاد الطلب]]),ISBLANK(table1[[#This Row],[ميعاد التسليم]])),0,table1[[#This Row],[ميعاد التسليم]]-table1[[#This Row],[ميعاد الطلب]])</f>
        <v>17</v>
      </c>
      <c r="T43" s="71">
        <f>IF(OR(ISBLANK(table1[[#This Row],[تاريخ التسليم]]),ISBLANK(table1[[#This Row],[ميعاد الطلب]]),ISBLANK(table1[[#This Row],[ميعاد التسليم]])),0,table1[[#This Row],[تاريخ التسليم]]-table1[[#This Row],[ميعاد الطلب]])</f>
        <v>20</v>
      </c>
      <c r="U43" s="80">
        <v>-3</v>
      </c>
      <c r="V43" s="80" t="str" cm="1">
        <f t="array" ref="V43">_xlfn.IFS(OR(table1[[#This Row],[Column4]]=0,table1[[#This Row],[Column4]]="0"),"لا يوجد تاريخ", table1[[#This Row],[Column4]]&gt;0,"تم التسليم قبل الموعد",table1[[#This Row],[Column4]]&lt;0,"تم التسليم بعد الموعد")</f>
        <v>تم التسليم بعد الموعد</v>
      </c>
      <c r="W43" t="s">
        <v>197</v>
      </c>
      <c r="X43" t="s">
        <v>196</v>
      </c>
      <c r="Y43" s="1" t="str">
        <f>TRIM(table1[[#This Row],[الحالة]])</f>
        <v>تم التسليم</v>
      </c>
    </row>
    <row r="44" spans="1:25" ht="20.100000000000001" customHeight="1" x14ac:dyDescent="0.3">
      <c r="A44" t="s">
        <v>381</v>
      </c>
      <c r="B44" t="str">
        <f>IF(OR(table1[[#This Row],[أسم العميل]]="تاكى",table1[[#This Row],[أسم العميل]]="أوسكار راتن",table1[[#This Row],[أسم العميل]]="شيك هومز"),"شركات","أفراد")</f>
        <v>أفراد</v>
      </c>
      <c r="C44" t="s">
        <v>86</v>
      </c>
      <c r="D44" t="s">
        <v>344</v>
      </c>
      <c r="E44" t="s">
        <v>7</v>
      </c>
      <c r="F44" t="s">
        <v>148</v>
      </c>
      <c r="G44" t="s">
        <v>169</v>
      </c>
      <c r="H44" t="s">
        <v>153</v>
      </c>
      <c r="I44">
        <v>80</v>
      </c>
      <c r="J44" t="s">
        <v>333</v>
      </c>
      <c r="K44" t="s">
        <v>333</v>
      </c>
      <c r="L44" t="s">
        <v>419</v>
      </c>
      <c r="M44" t="s">
        <v>89</v>
      </c>
      <c r="N44">
        <v>16599</v>
      </c>
      <c r="O44" t="s">
        <v>15</v>
      </c>
      <c r="P44" s="68">
        <v>45548</v>
      </c>
      <c r="Q44" s="67">
        <v>45565</v>
      </c>
      <c r="R44" s="67">
        <v>45568</v>
      </c>
      <c r="S44" s="71">
        <f>IF(OR(ISBLANK(table1[[#This Row],[ميعاد الطلب]]),ISBLANK(table1[[#This Row],[ميعاد التسليم]])),0,table1[[#This Row],[ميعاد التسليم]]-table1[[#This Row],[ميعاد الطلب]])</f>
        <v>17</v>
      </c>
      <c r="T44" s="71">
        <f>IF(OR(ISBLANK(table1[[#This Row],[تاريخ التسليم]]),ISBLANK(table1[[#This Row],[ميعاد الطلب]]),ISBLANK(table1[[#This Row],[ميعاد التسليم]])),0,table1[[#This Row],[تاريخ التسليم]]-table1[[#This Row],[ميعاد الطلب]])</f>
        <v>20</v>
      </c>
      <c r="U44" s="80">
        <v>-3</v>
      </c>
      <c r="V44" s="80" t="str" cm="1">
        <f t="array" ref="V44">_xlfn.IFS(OR(table1[[#This Row],[Column4]]=0,table1[[#This Row],[Column4]]="0"),"لا يوجد تاريخ", table1[[#This Row],[Column4]]&gt;0,"تم التسليم قبل الموعد",table1[[#This Row],[Column4]]&lt;0,"تم التسليم بعد الموعد")</f>
        <v>تم التسليم بعد الموعد</v>
      </c>
      <c r="W44" t="s">
        <v>197</v>
      </c>
      <c r="X44" t="s">
        <v>196</v>
      </c>
      <c r="Y44" s="1" t="str">
        <f>TRIM(table1[[#This Row],[الحالة]])</f>
        <v>تم التسليم</v>
      </c>
    </row>
    <row r="45" spans="1:25" ht="20.100000000000001" customHeight="1" x14ac:dyDescent="0.3">
      <c r="A45" t="s">
        <v>392</v>
      </c>
      <c r="B45" t="str">
        <f>IF(OR(table1[[#This Row],[أسم العميل]]="تاكى",table1[[#This Row],[أسم العميل]]="أوسكار راتن",table1[[#This Row],[أسم العميل]]="شيك هومز"),"شركات","أفراد")</f>
        <v>أفراد</v>
      </c>
      <c r="C45" t="s">
        <v>115</v>
      </c>
      <c r="D45" t="s">
        <v>343</v>
      </c>
      <c r="E45" t="s">
        <v>7</v>
      </c>
      <c r="F45" t="s">
        <v>148</v>
      </c>
      <c r="G45" t="s">
        <v>163</v>
      </c>
      <c r="H45" t="s">
        <v>153</v>
      </c>
      <c r="I45">
        <v>80</v>
      </c>
      <c r="J45" t="s">
        <v>333</v>
      </c>
      <c r="K45" t="s">
        <v>333</v>
      </c>
      <c r="L45" t="s">
        <v>419</v>
      </c>
      <c r="M45" t="s">
        <v>88</v>
      </c>
      <c r="N45">
        <v>10999</v>
      </c>
      <c r="O45" t="s">
        <v>15</v>
      </c>
      <c r="P45" s="68">
        <v>45548</v>
      </c>
      <c r="Q45" s="67">
        <v>45565</v>
      </c>
      <c r="R45" s="67">
        <v>45581</v>
      </c>
      <c r="S45" s="71">
        <f>IF(OR(ISBLANK(table1[[#This Row],[ميعاد الطلب]]),ISBLANK(table1[[#This Row],[ميعاد التسليم]])),0,table1[[#This Row],[ميعاد التسليم]]-table1[[#This Row],[ميعاد الطلب]])</f>
        <v>17</v>
      </c>
      <c r="T45" s="71">
        <f>IF(OR(ISBLANK(table1[[#This Row],[تاريخ التسليم]]),ISBLANK(table1[[#This Row],[ميعاد الطلب]]),ISBLANK(table1[[#This Row],[ميعاد التسليم]])),0,table1[[#This Row],[تاريخ التسليم]]-table1[[#This Row],[ميعاد الطلب]])</f>
        <v>33</v>
      </c>
      <c r="U45" s="80">
        <v>-16</v>
      </c>
      <c r="V45" s="80" t="str" cm="1">
        <f t="array" ref="V45">_xlfn.IFS(OR(table1[[#This Row],[Column4]]=0,table1[[#This Row],[Column4]]="0"),"لا يوجد تاريخ", table1[[#This Row],[Column4]]&gt;0,"تم التسليم قبل الموعد",table1[[#This Row],[Column4]]&lt;0,"تم التسليم بعد الموعد")</f>
        <v>تم التسليم بعد الموعد</v>
      </c>
      <c r="W45" t="s">
        <v>27</v>
      </c>
      <c r="X45" t="s">
        <v>196</v>
      </c>
      <c r="Y45" s="1" t="str">
        <f>TRIM(table1[[#This Row],[الحالة]])</f>
        <v>تم التسليم</v>
      </c>
    </row>
    <row r="46" spans="1:25" ht="20.100000000000001" customHeight="1" x14ac:dyDescent="0.3">
      <c r="A46" t="s">
        <v>393</v>
      </c>
      <c r="B46" t="str">
        <f>IF(OR(table1[[#This Row],[أسم العميل]]="تاكى",table1[[#This Row],[أسم العميل]]="أوسكار راتن",table1[[#This Row],[أسم العميل]]="شيك هومز"),"شركات","أفراد")</f>
        <v>أفراد</v>
      </c>
      <c r="C46" t="s">
        <v>354</v>
      </c>
      <c r="D46" t="s">
        <v>349</v>
      </c>
      <c r="E46" t="s">
        <v>7</v>
      </c>
      <c r="F46" t="s">
        <v>148</v>
      </c>
      <c r="G46" t="s">
        <v>163</v>
      </c>
      <c r="H46" t="s">
        <v>153</v>
      </c>
      <c r="I46">
        <v>140</v>
      </c>
      <c r="J46" t="s">
        <v>168</v>
      </c>
      <c r="K46" t="s">
        <v>168</v>
      </c>
      <c r="L46" t="s">
        <v>419</v>
      </c>
      <c r="M46" t="s">
        <v>92</v>
      </c>
      <c r="N46">
        <v>13099</v>
      </c>
      <c r="O46" t="s">
        <v>15</v>
      </c>
      <c r="P46" s="68">
        <v>45548</v>
      </c>
      <c r="Q46" s="67">
        <v>45565</v>
      </c>
      <c r="R46" s="67">
        <v>45568</v>
      </c>
      <c r="S46" s="71">
        <f>IF(OR(ISBLANK(table1[[#This Row],[ميعاد الطلب]]),ISBLANK(table1[[#This Row],[ميعاد التسليم]])),0,table1[[#This Row],[ميعاد التسليم]]-table1[[#This Row],[ميعاد الطلب]])</f>
        <v>17</v>
      </c>
      <c r="T46" s="71">
        <f>IF(OR(ISBLANK(table1[[#This Row],[تاريخ التسليم]]),ISBLANK(table1[[#This Row],[ميعاد الطلب]]),ISBLANK(table1[[#This Row],[ميعاد التسليم]])),0,table1[[#This Row],[تاريخ التسليم]]-table1[[#This Row],[ميعاد الطلب]])</f>
        <v>20</v>
      </c>
      <c r="U46" s="80">
        <v>-3</v>
      </c>
      <c r="V46" s="80" t="str" cm="1">
        <f t="array" ref="V46">_xlfn.IFS(OR(table1[[#This Row],[Column4]]=0,table1[[#This Row],[Column4]]="0"),"لا يوجد تاريخ", table1[[#This Row],[Column4]]&gt;0,"تم التسليم قبل الموعد",table1[[#This Row],[Column4]]&lt;0,"تم التسليم بعد الموعد")</f>
        <v>تم التسليم بعد الموعد</v>
      </c>
      <c r="W46" t="s">
        <v>27</v>
      </c>
      <c r="X46" t="s">
        <v>196</v>
      </c>
      <c r="Y46" s="1" t="str">
        <f>TRIM(table1[[#This Row],[الحالة]])</f>
        <v>تم التسليم</v>
      </c>
    </row>
    <row r="47" spans="1:25" ht="20.100000000000001" customHeight="1" x14ac:dyDescent="0.3">
      <c r="A47" t="s">
        <v>394</v>
      </c>
      <c r="B47" t="str">
        <f>IF(OR(table1[[#This Row],[أسم العميل]]="تاكى",table1[[#This Row],[أسم العميل]]="أوسكار راتن",table1[[#This Row],[أسم العميل]]="شيك هومز"),"شركات","أفراد")</f>
        <v>أفراد</v>
      </c>
      <c r="C47" t="s">
        <v>276</v>
      </c>
      <c r="D47" t="s">
        <v>339</v>
      </c>
      <c r="E47" t="s">
        <v>7</v>
      </c>
      <c r="F47" t="s">
        <v>148</v>
      </c>
      <c r="G47" t="s">
        <v>163</v>
      </c>
      <c r="H47" t="s">
        <v>152</v>
      </c>
      <c r="I47">
        <v>120</v>
      </c>
      <c r="J47" t="s">
        <v>171</v>
      </c>
      <c r="K47" t="s">
        <v>171</v>
      </c>
      <c r="L47" t="s">
        <v>419</v>
      </c>
      <c r="M47" t="s">
        <v>96</v>
      </c>
      <c r="N47">
        <v>13849</v>
      </c>
      <c r="O47" t="s">
        <v>15</v>
      </c>
      <c r="P47" s="68">
        <v>45548</v>
      </c>
      <c r="Q47" s="67">
        <v>45565</v>
      </c>
      <c r="R47" s="67">
        <v>45585</v>
      </c>
      <c r="S47" s="71">
        <f>IF(OR(ISBLANK(table1[[#This Row],[ميعاد الطلب]]),ISBLANK(table1[[#This Row],[ميعاد التسليم]])),0,table1[[#This Row],[ميعاد التسليم]]-table1[[#This Row],[ميعاد الطلب]])</f>
        <v>17</v>
      </c>
      <c r="T47" s="71">
        <f>IF(OR(ISBLANK(table1[[#This Row],[تاريخ التسليم]]),ISBLANK(table1[[#This Row],[ميعاد الطلب]]),ISBLANK(table1[[#This Row],[ميعاد التسليم]])),0,table1[[#This Row],[تاريخ التسليم]]-table1[[#This Row],[ميعاد الطلب]])</f>
        <v>37</v>
      </c>
      <c r="U47" s="80">
        <v>-20</v>
      </c>
      <c r="V47" s="80" t="str" cm="1">
        <f t="array" ref="V47">_xlfn.IFS(OR(table1[[#This Row],[Column4]]=0,table1[[#This Row],[Column4]]="0"),"لا يوجد تاريخ", table1[[#This Row],[Column4]]&gt;0,"تم التسليم قبل الموعد",table1[[#This Row],[Column4]]&lt;0,"تم التسليم بعد الموعد")</f>
        <v>تم التسليم بعد الموعد</v>
      </c>
      <c r="W47" t="s">
        <v>197</v>
      </c>
      <c r="X47" t="s">
        <v>196</v>
      </c>
      <c r="Y47" s="1" t="str">
        <f>TRIM(table1[[#This Row],[الحالة]])</f>
        <v>تم التسليم</v>
      </c>
    </row>
    <row r="48" spans="1:25" ht="20.100000000000001" customHeight="1" x14ac:dyDescent="0.3">
      <c r="A48" t="s">
        <v>395</v>
      </c>
      <c r="B48" t="str">
        <f>IF(OR(table1[[#This Row],[أسم العميل]]="تاكى",table1[[#This Row],[أسم العميل]]="أوسكار راتن",table1[[#This Row],[أسم العميل]]="شيك هومز"),"شركات","أفراد")</f>
        <v>أفراد</v>
      </c>
      <c r="C48" t="s">
        <v>66</v>
      </c>
      <c r="D48" t="s">
        <v>344</v>
      </c>
      <c r="E48" t="s">
        <v>7</v>
      </c>
      <c r="F48" t="s">
        <v>159</v>
      </c>
      <c r="G48" t="s">
        <v>162</v>
      </c>
      <c r="H48"/>
      <c r="I48"/>
      <c r="J48" t="s">
        <v>334</v>
      </c>
      <c r="K48" t="s">
        <v>334</v>
      </c>
      <c r="L48" t="s">
        <v>170</v>
      </c>
      <c r="M48" t="s">
        <v>101</v>
      </c>
      <c r="N48">
        <v>21999</v>
      </c>
      <c r="O48" t="s">
        <v>15</v>
      </c>
      <c r="P48" s="68">
        <v>45548</v>
      </c>
      <c r="Q48" s="67">
        <v>45565</v>
      </c>
      <c r="R48" s="67"/>
      <c r="S48" s="71">
        <f>IF(OR(ISBLANK(table1[[#This Row],[ميعاد الطلب]]),ISBLANK(table1[[#This Row],[ميعاد التسليم]])),0,table1[[#This Row],[ميعاد التسليم]]-table1[[#This Row],[ميعاد الطلب]])</f>
        <v>17</v>
      </c>
      <c r="T48" s="71">
        <f>IF(OR(ISBLANK(table1[[#This Row],[تاريخ التسليم]]),ISBLANK(table1[[#This Row],[ميعاد الطلب]]),ISBLANK(table1[[#This Row],[ميعاد التسليم]])),0,table1[[#This Row],[تاريخ التسليم]]-table1[[#This Row],[ميعاد الطلب]])</f>
        <v>0</v>
      </c>
      <c r="U48" s="80" t="s">
        <v>429</v>
      </c>
      <c r="V48" s="80" t="str" cm="1">
        <f t="array" ref="V48">_xlfn.IFS(OR(table1[[#This Row],[Column4]]=0,table1[[#This Row],[Column4]]="0"),"لا يوجد تاريخ", table1[[#This Row],[Column4]]&gt;0,"تم التسليم قبل الموعد",table1[[#This Row],[Column4]]&lt;0,"تم التسليم بعد الموعد")</f>
        <v>لا يوجد تاريخ</v>
      </c>
      <c r="W48" t="s">
        <v>197</v>
      </c>
      <c r="X48" t="s">
        <v>196</v>
      </c>
      <c r="Y48" s="1" t="str">
        <f>TRIM(table1[[#This Row],[الحالة]])</f>
        <v>تم التسليم</v>
      </c>
    </row>
    <row r="49" spans="1:25" ht="20.100000000000001" customHeight="1" x14ac:dyDescent="0.3">
      <c r="A49" t="s">
        <v>396</v>
      </c>
      <c r="B49" t="str">
        <f>IF(OR(table1[[#This Row],[أسم العميل]]="تاكى",table1[[#This Row],[أسم العميل]]="أوسكار راتن",table1[[#This Row],[أسم العميل]]="شيك هومز"),"شركات","أفراد")</f>
        <v>أفراد</v>
      </c>
      <c r="C49" t="s">
        <v>276</v>
      </c>
      <c r="D49" t="s">
        <v>339</v>
      </c>
      <c r="E49" t="s">
        <v>7</v>
      </c>
      <c r="F49" t="s">
        <v>148</v>
      </c>
      <c r="G49" t="s">
        <v>163</v>
      </c>
      <c r="H49" t="s">
        <v>153</v>
      </c>
      <c r="I49">
        <v>80</v>
      </c>
      <c r="J49" t="s">
        <v>333</v>
      </c>
      <c r="K49" t="s">
        <v>333</v>
      </c>
      <c r="L49" t="s">
        <v>419</v>
      </c>
      <c r="M49" t="s">
        <v>88</v>
      </c>
      <c r="N49">
        <v>10999</v>
      </c>
      <c r="O49" t="s">
        <v>15</v>
      </c>
      <c r="P49" s="68">
        <v>45548</v>
      </c>
      <c r="Q49" s="67">
        <v>45565</v>
      </c>
      <c r="R49" s="67">
        <v>45580</v>
      </c>
      <c r="S49" s="71">
        <f>IF(OR(ISBLANK(table1[[#This Row],[ميعاد الطلب]]),ISBLANK(table1[[#This Row],[ميعاد التسليم]])),0,table1[[#This Row],[ميعاد التسليم]]-table1[[#This Row],[ميعاد الطلب]])</f>
        <v>17</v>
      </c>
      <c r="T49" s="71">
        <f>IF(OR(ISBLANK(table1[[#This Row],[تاريخ التسليم]]),ISBLANK(table1[[#This Row],[ميعاد الطلب]]),ISBLANK(table1[[#This Row],[ميعاد التسليم]])),0,table1[[#This Row],[تاريخ التسليم]]-table1[[#This Row],[ميعاد الطلب]])</f>
        <v>32</v>
      </c>
      <c r="U49" s="80">
        <v>-15</v>
      </c>
      <c r="V49" s="80" t="str" cm="1">
        <f t="array" ref="V49">_xlfn.IFS(OR(table1[[#This Row],[Column4]]=0,table1[[#This Row],[Column4]]="0"),"لا يوجد تاريخ", table1[[#This Row],[Column4]]&gt;0,"تم التسليم قبل الموعد",table1[[#This Row],[Column4]]&lt;0,"تم التسليم بعد الموعد")</f>
        <v>تم التسليم بعد الموعد</v>
      </c>
      <c r="W49" t="s">
        <v>197</v>
      </c>
      <c r="X49" t="s">
        <v>196</v>
      </c>
      <c r="Y49" s="1" t="str">
        <f>TRIM(table1[[#This Row],[الحالة]])</f>
        <v>تم التسليم</v>
      </c>
    </row>
    <row r="50" spans="1:25" ht="20.100000000000001" customHeight="1" x14ac:dyDescent="0.3">
      <c r="A50" t="s">
        <v>397</v>
      </c>
      <c r="B50" t="str">
        <f>IF(OR(table1[[#This Row],[أسم العميل]]="تاكى",table1[[#This Row],[أسم العميل]]="أوسكار راتن",table1[[#This Row],[أسم العميل]]="شيك هومز"),"شركات","أفراد")</f>
        <v>أفراد</v>
      </c>
      <c r="C50" t="s">
        <v>105</v>
      </c>
      <c r="D50" t="s">
        <v>344</v>
      </c>
      <c r="E50" t="s">
        <v>7</v>
      </c>
      <c r="F50" t="s">
        <v>148</v>
      </c>
      <c r="G50" t="s">
        <v>169</v>
      </c>
      <c r="H50" t="s">
        <v>153</v>
      </c>
      <c r="I50">
        <v>90</v>
      </c>
      <c r="J50" t="s">
        <v>334</v>
      </c>
      <c r="K50" t="s">
        <v>334</v>
      </c>
      <c r="L50" t="s">
        <v>419</v>
      </c>
      <c r="M50" t="s">
        <v>109</v>
      </c>
      <c r="N50">
        <v>17249</v>
      </c>
      <c r="O50" t="s">
        <v>15</v>
      </c>
      <c r="P50" s="68">
        <v>45548</v>
      </c>
      <c r="Q50" s="67">
        <v>45565</v>
      </c>
      <c r="R50" s="67">
        <v>45569</v>
      </c>
      <c r="S50" s="71">
        <f>IF(OR(ISBLANK(table1[[#This Row],[ميعاد الطلب]]),ISBLANK(table1[[#This Row],[ميعاد التسليم]])),0,table1[[#This Row],[ميعاد التسليم]]-table1[[#This Row],[ميعاد الطلب]])</f>
        <v>17</v>
      </c>
      <c r="T50" s="71">
        <f>IF(OR(ISBLANK(table1[[#This Row],[تاريخ التسليم]]),ISBLANK(table1[[#This Row],[ميعاد الطلب]]),ISBLANK(table1[[#This Row],[ميعاد التسليم]])),0,table1[[#This Row],[تاريخ التسليم]]-table1[[#This Row],[ميعاد الطلب]])</f>
        <v>21</v>
      </c>
      <c r="U50" s="80">
        <v>-4</v>
      </c>
      <c r="V50" s="80" t="str" cm="1">
        <f t="array" ref="V50">_xlfn.IFS(OR(table1[[#This Row],[Column4]]=0,table1[[#This Row],[Column4]]="0"),"لا يوجد تاريخ", table1[[#This Row],[Column4]]&gt;0,"تم التسليم قبل الموعد",table1[[#This Row],[Column4]]&lt;0,"تم التسليم بعد الموعد")</f>
        <v>تم التسليم بعد الموعد</v>
      </c>
      <c r="W50" t="s">
        <v>197</v>
      </c>
      <c r="X50" t="s">
        <v>196</v>
      </c>
      <c r="Y50" s="1" t="str">
        <f>TRIM(table1[[#This Row],[الحالة]])</f>
        <v>تم التسليم</v>
      </c>
    </row>
    <row r="51" spans="1:25" ht="20.100000000000001" customHeight="1" x14ac:dyDescent="0.3">
      <c r="A51" t="s">
        <v>398</v>
      </c>
      <c r="B51" t="str">
        <f>IF(OR(table1[[#This Row],[أسم العميل]]="تاكى",table1[[#This Row],[أسم العميل]]="أوسكار راتن",table1[[#This Row],[أسم العميل]]="شيك هومز"),"شركات","أفراد")</f>
        <v>أفراد</v>
      </c>
      <c r="C51" t="s">
        <v>137</v>
      </c>
      <c r="D51" t="s">
        <v>339</v>
      </c>
      <c r="E51" t="s">
        <v>7</v>
      </c>
      <c r="F51" t="s">
        <v>155</v>
      </c>
      <c r="G51" t="s">
        <v>185</v>
      </c>
      <c r="H51"/>
      <c r="I51"/>
      <c r="J51" t="s">
        <v>419</v>
      </c>
      <c r="K51" t="s">
        <v>419</v>
      </c>
      <c r="L51" t="s">
        <v>419</v>
      </c>
      <c r="M51" t="s">
        <v>138</v>
      </c>
      <c r="N51">
        <v>8349</v>
      </c>
      <c r="O51" t="s">
        <v>15</v>
      </c>
      <c r="P51" s="68">
        <v>45549</v>
      </c>
      <c r="Q51" s="67">
        <v>45581</v>
      </c>
      <c r="R51" s="67">
        <v>45586</v>
      </c>
      <c r="S51" s="71">
        <f>IF(OR(ISBLANK(table1[[#This Row],[ميعاد الطلب]]),ISBLANK(table1[[#This Row],[ميعاد التسليم]])),0,table1[[#This Row],[ميعاد التسليم]]-table1[[#This Row],[ميعاد الطلب]])</f>
        <v>32</v>
      </c>
      <c r="T51" s="71">
        <f>IF(OR(ISBLANK(table1[[#This Row],[تاريخ التسليم]]),ISBLANK(table1[[#This Row],[ميعاد الطلب]]),ISBLANK(table1[[#This Row],[ميعاد التسليم]])),0,table1[[#This Row],[تاريخ التسليم]]-table1[[#This Row],[ميعاد الطلب]])</f>
        <v>37</v>
      </c>
      <c r="U51" s="80">
        <v>-5</v>
      </c>
      <c r="V51" s="80" t="str" cm="1">
        <f t="array" ref="V51">_xlfn.IFS(OR(table1[[#This Row],[Column4]]=0,table1[[#This Row],[Column4]]="0"),"لا يوجد تاريخ", table1[[#This Row],[Column4]]&gt;0,"تم التسليم قبل الموعد",table1[[#This Row],[Column4]]&lt;0,"تم التسليم بعد الموعد")</f>
        <v>تم التسليم بعد الموعد</v>
      </c>
      <c r="W51" t="s">
        <v>197</v>
      </c>
      <c r="X51" t="s">
        <v>196</v>
      </c>
      <c r="Y51" s="1" t="str">
        <f>TRIM(table1[[#This Row],[الحالة]])</f>
        <v>تم التسليم</v>
      </c>
    </row>
    <row r="52" spans="1:25" ht="20.100000000000001" customHeight="1" x14ac:dyDescent="0.3">
      <c r="A52" t="s">
        <v>399</v>
      </c>
      <c r="B52" t="str">
        <f>IF(OR(table1[[#This Row],[أسم العميل]]="تاكى",table1[[#This Row],[أسم العميل]]="أوسكار راتن",table1[[#This Row],[أسم العميل]]="شيك هومز"),"شركات","أفراد")</f>
        <v>أفراد</v>
      </c>
      <c r="C52" t="s">
        <v>345</v>
      </c>
      <c r="D52" t="s">
        <v>344</v>
      </c>
      <c r="E52" t="s">
        <v>7</v>
      </c>
      <c r="F52" t="s">
        <v>155</v>
      </c>
      <c r="G52" t="s">
        <v>186</v>
      </c>
      <c r="H52"/>
      <c r="I52"/>
      <c r="J52" t="s">
        <v>419</v>
      </c>
      <c r="K52" t="s">
        <v>419</v>
      </c>
      <c r="L52" t="s">
        <v>419</v>
      </c>
      <c r="M52" t="s">
        <v>26</v>
      </c>
      <c r="N52">
        <v>7849</v>
      </c>
      <c r="O52" t="s">
        <v>15</v>
      </c>
      <c r="P52" s="68">
        <v>45549</v>
      </c>
      <c r="Q52" s="67">
        <v>45594</v>
      </c>
      <c r="R52" s="67">
        <v>45595</v>
      </c>
      <c r="S52" s="71">
        <f>IF(OR(ISBLANK(table1[[#This Row],[ميعاد الطلب]]),ISBLANK(table1[[#This Row],[ميعاد التسليم]])),0,table1[[#This Row],[ميعاد التسليم]]-table1[[#This Row],[ميعاد الطلب]])</f>
        <v>45</v>
      </c>
      <c r="T52" s="71">
        <f>IF(OR(ISBLANK(table1[[#This Row],[تاريخ التسليم]]),ISBLANK(table1[[#This Row],[ميعاد الطلب]]),ISBLANK(table1[[#This Row],[ميعاد التسليم]])),0,table1[[#This Row],[تاريخ التسليم]]-table1[[#This Row],[ميعاد الطلب]])</f>
        <v>46</v>
      </c>
      <c r="U52" s="80">
        <v>-1</v>
      </c>
      <c r="V52" s="80" t="str" cm="1">
        <f t="array" ref="V52">_xlfn.IFS(OR(table1[[#This Row],[Column4]]=0,table1[[#This Row],[Column4]]="0"),"لا يوجد تاريخ", table1[[#This Row],[Column4]]&gt;0,"تم التسليم قبل الموعد",table1[[#This Row],[Column4]]&lt;0,"تم التسليم بعد الموعد")</f>
        <v>تم التسليم بعد الموعد</v>
      </c>
      <c r="W52" t="s">
        <v>197</v>
      </c>
      <c r="X52" t="s">
        <v>196</v>
      </c>
      <c r="Y52" s="1" t="str">
        <f>TRIM(table1[[#This Row],[الحالة]])</f>
        <v>تم التسليم</v>
      </c>
    </row>
    <row r="53" spans="1:25" ht="20.100000000000001" customHeight="1" x14ac:dyDescent="0.3">
      <c r="A53" t="s">
        <v>117</v>
      </c>
      <c r="B53" t="str">
        <f>IF(OR(table1[[#This Row],[أسم العميل]]="تاكى",table1[[#This Row],[أسم العميل]]="أوسكار راتن",table1[[#This Row],[أسم العميل]]="شيك هومز"),"شركات","أفراد")</f>
        <v>أفراد</v>
      </c>
      <c r="C53" t="s">
        <v>276</v>
      </c>
      <c r="D53" t="s">
        <v>339</v>
      </c>
      <c r="E53" t="s">
        <v>7</v>
      </c>
      <c r="F53" t="s">
        <v>148</v>
      </c>
      <c r="G53" t="s">
        <v>149</v>
      </c>
      <c r="H53"/>
      <c r="I53"/>
      <c r="J53" t="s">
        <v>334</v>
      </c>
      <c r="K53" t="s">
        <v>334</v>
      </c>
      <c r="L53" t="s">
        <v>334</v>
      </c>
      <c r="M53" t="s">
        <v>118</v>
      </c>
      <c r="N53">
        <v>9399</v>
      </c>
      <c r="O53" t="s">
        <v>113</v>
      </c>
      <c r="P53" s="68">
        <v>45549</v>
      </c>
      <c r="Q53" s="67">
        <v>45594</v>
      </c>
      <c r="R53" s="67">
        <v>45580</v>
      </c>
      <c r="S53" s="71">
        <f>IF(OR(ISBLANK(table1[[#This Row],[ميعاد الطلب]]),ISBLANK(table1[[#This Row],[ميعاد التسليم]])),0,table1[[#This Row],[ميعاد التسليم]]-table1[[#This Row],[ميعاد الطلب]])</f>
        <v>45</v>
      </c>
      <c r="T53" s="71">
        <f>IF(OR(ISBLANK(table1[[#This Row],[تاريخ التسليم]]),ISBLANK(table1[[#This Row],[ميعاد الطلب]]),ISBLANK(table1[[#This Row],[ميعاد التسليم]])),0,table1[[#This Row],[تاريخ التسليم]]-table1[[#This Row],[ميعاد الطلب]])</f>
        <v>31</v>
      </c>
      <c r="U53" s="80">
        <v>14</v>
      </c>
      <c r="V53" s="80" t="str" cm="1">
        <f t="array" ref="V53">_xlfn.IFS(OR(table1[[#This Row],[Column4]]=0,table1[[#This Row],[Column4]]="0"),"لا يوجد تاريخ", table1[[#This Row],[Column4]]&gt;0,"تم التسليم قبل الموعد",table1[[#This Row],[Column4]]&lt;0,"تم التسليم بعد الموعد")</f>
        <v>تم التسليم قبل الموعد</v>
      </c>
      <c r="W53" t="s">
        <v>197</v>
      </c>
      <c r="X53" t="s">
        <v>196</v>
      </c>
      <c r="Y53" s="1" t="str">
        <f>TRIM(table1[[#This Row],[الحالة]])</f>
        <v>تم التسليم</v>
      </c>
    </row>
    <row r="54" spans="1:25" ht="20.100000000000001" customHeight="1" x14ac:dyDescent="0.3">
      <c r="A54" t="s">
        <v>400</v>
      </c>
      <c r="B54" t="str">
        <f>IF(OR(table1[[#This Row],[أسم العميل]]="تاكى",table1[[#This Row],[أسم العميل]]="أوسكار راتن",table1[[#This Row],[أسم العميل]]="شيك هومز"),"شركات","أفراد")</f>
        <v>أفراد</v>
      </c>
      <c r="C54" t="s">
        <v>355</v>
      </c>
      <c r="D54" t="s">
        <v>339</v>
      </c>
      <c r="E54" t="s">
        <v>7</v>
      </c>
      <c r="F54" t="s">
        <v>148</v>
      </c>
      <c r="G54" t="s">
        <v>151</v>
      </c>
      <c r="H54" t="s">
        <v>154</v>
      </c>
      <c r="I54">
        <v>140</v>
      </c>
      <c r="J54" t="s">
        <v>334</v>
      </c>
      <c r="K54" t="s">
        <v>334</v>
      </c>
      <c r="L54" t="s">
        <v>419</v>
      </c>
      <c r="M54" t="s">
        <v>121</v>
      </c>
      <c r="N54">
        <v>11817</v>
      </c>
      <c r="O54" t="s">
        <v>113</v>
      </c>
      <c r="P54" s="68">
        <v>45549</v>
      </c>
      <c r="Q54" s="67">
        <v>45594</v>
      </c>
      <c r="R54" s="67">
        <v>45580</v>
      </c>
      <c r="S54" s="71">
        <f>IF(OR(ISBLANK(table1[[#This Row],[ميعاد الطلب]]),ISBLANK(table1[[#This Row],[ميعاد التسليم]])),0,table1[[#This Row],[ميعاد التسليم]]-table1[[#This Row],[ميعاد الطلب]])</f>
        <v>45</v>
      </c>
      <c r="T54" s="71">
        <f>IF(OR(ISBLANK(table1[[#This Row],[تاريخ التسليم]]),ISBLANK(table1[[#This Row],[ميعاد الطلب]]),ISBLANK(table1[[#This Row],[ميعاد التسليم]])),0,table1[[#This Row],[تاريخ التسليم]]-table1[[#This Row],[ميعاد الطلب]])</f>
        <v>31</v>
      </c>
      <c r="U54" s="80">
        <v>14</v>
      </c>
      <c r="V54" s="80" t="str" cm="1">
        <f t="array" ref="V54">_xlfn.IFS(OR(table1[[#This Row],[Column4]]=0,table1[[#This Row],[Column4]]="0"),"لا يوجد تاريخ", table1[[#This Row],[Column4]]&gt;0,"تم التسليم قبل الموعد",table1[[#This Row],[Column4]]&lt;0,"تم التسليم بعد الموعد")</f>
        <v>تم التسليم قبل الموعد</v>
      </c>
      <c r="W54" t="s">
        <v>197</v>
      </c>
      <c r="X54" t="s">
        <v>196</v>
      </c>
      <c r="Y54" s="1" t="str">
        <f>TRIM(table1[[#This Row],[الحالة]])</f>
        <v>تم التسليم</v>
      </c>
    </row>
    <row r="55" spans="1:25" ht="20.100000000000001" customHeight="1" x14ac:dyDescent="0.3">
      <c r="A55" t="s">
        <v>401</v>
      </c>
      <c r="B55" t="str">
        <f>IF(OR(table1[[#This Row],[أسم العميل]]="تاكى",table1[[#This Row],[أسم العميل]]="أوسكار راتن",table1[[#This Row],[أسم العميل]]="شيك هومز"),"شركات","أفراد")</f>
        <v>أفراد</v>
      </c>
      <c r="C55" t="s">
        <v>86</v>
      </c>
      <c r="D55" t="s">
        <v>344</v>
      </c>
      <c r="E55" t="s">
        <v>7</v>
      </c>
      <c r="F55" t="s">
        <v>155</v>
      </c>
      <c r="G55" t="s">
        <v>187</v>
      </c>
      <c r="H55"/>
      <c r="I55"/>
      <c r="J55" t="s">
        <v>419</v>
      </c>
      <c r="K55" t="s">
        <v>419</v>
      </c>
      <c r="L55" t="s">
        <v>419</v>
      </c>
      <c r="M55" t="s">
        <v>123</v>
      </c>
      <c r="N55">
        <v>8349</v>
      </c>
      <c r="O55" t="s">
        <v>113</v>
      </c>
      <c r="P55" s="68">
        <v>45549</v>
      </c>
      <c r="Q55" s="67">
        <v>45594</v>
      </c>
      <c r="R55" s="67">
        <v>45584</v>
      </c>
      <c r="S55" s="71">
        <f>IF(OR(ISBLANK(table1[[#This Row],[ميعاد الطلب]]),ISBLANK(table1[[#This Row],[ميعاد التسليم]])),0,table1[[#This Row],[ميعاد التسليم]]-table1[[#This Row],[ميعاد الطلب]])</f>
        <v>45</v>
      </c>
      <c r="T55" s="71">
        <f>IF(OR(ISBLANK(table1[[#This Row],[تاريخ التسليم]]),ISBLANK(table1[[#This Row],[ميعاد الطلب]]),ISBLANK(table1[[#This Row],[ميعاد التسليم]])),0,table1[[#This Row],[تاريخ التسليم]]-table1[[#This Row],[ميعاد الطلب]])</f>
        <v>35</v>
      </c>
      <c r="U55" s="80">
        <v>10</v>
      </c>
      <c r="V55" s="80" t="str" cm="1">
        <f t="array" ref="V55">_xlfn.IFS(OR(table1[[#This Row],[Column4]]=0,table1[[#This Row],[Column4]]="0"),"لا يوجد تاريخ", table1[[#This Row],[Column4]]&gt;0,"تم التسليم قبل الموعد",table1[[#This Row],[Column4]]&lt;0,"تم التسليم بعد الموعد")</f>
        <v>تم التسليم قبل الموعد</v>
      </c>
      <c r="W55" t="s">
        <v>197</v>
      </c>
      <c r="X55" t="s">
        <v>196</v>
      </c>
      <c r="Y55" s="1" t="str">
        <f>TRIM(table1[[#This Row],[الحالة]])</f>
        <v>تم التسليم</v>
      </c>
    </row>
    <row r="56" spans="1:25" ht="20.100000000000001" customHeight="1" x14ac:dyDescent="0.3">
      <c r="A56" t="s">
        <v>402</v>
      </c>
      <c r="B56" t="str">
        <f>IF(OR(table1[[#This Row],[أسم العميل]]="تاكى",table1[[#This Row],[أسم العميل]]="أوسكار راتن",table1[[#This Row],[أسم العميل]]="شيك هومز"),"شركات","أفراد")</f>
        <v>أفراد</v>
      </c>
      <c r="C56" t="s">
        <v>127</v>
      </c>
      <c r="D56" t="s">
        <v>344</v>
      </c>
      <c r="E56" t="s">
        <v>7</v>
      </c>
      <c r="F56" t="s">
        <v>148</v>
      </c>
      <c r="G56" t="s">
        <v>151</v>
      </c>
      <c r="H56" t="s">
        <v>175</v>
      </c>
      <c r="I56">
        <v>120</v>
      </c>
      <c r="J56" t="s">
        <v>333</v>
      </c>
      <c r="K56" t="s">
        <v>333</v>
      </c>
      <c r="L56" t="s">
        <v>419</v>
      </c>
      <c r="M56" t="s">
        <v>128</v>
      </c>
      <c r="N56">
        <v>17886</v>
      </c>
      <c r="O56" t="s">
        <v>113</v>
      </c>
      <c r="P56" s="68">
        <v>45549</v>
      </c>
      <c r="Q56" s="67">
        <v>45594</v>
      </c>
      <c r="R56" s="67"/>
      <c r="S56" s="71">
        <f>IF(OR(ISBLANK(table1[[#This Row],[ميعاد الطلب]]),ISBLANK(table1[[#This Row],[ميعاد التسليم]])),0,table1[[#This Row],[ميعاد التسليم]]-table1[[#This Row],[ميعاد الطلب]])</f>
        <v>45</v>
      </c>
      <c r="T56" s="71">
        <f>IF(OR(ISBLANK(table1[[#This Row],[تاريخ التسليم]]),ISBLANK(table1[[#This Row],[ميعاد الطلب]]),ISBLANK(table1[[#This Row],[ميعاد التسليم]])),0,table1[[#This Row],[تاريخ التسليم]]-table1[[#This Row],[ميعاد الطلب]])</f>
        <v>0</v>
      </c>
      <c r="U56" s="80" t="s">
        <v>429</v>
      </c>
      <c r="V56" s="80" t="str" cm="1">
        <f t="array" ref="V56">_xlfn.IFS(OR(table1[[#This Row],[Column4]]=0,table1[[#This Row],[Column4]]="0"),"لا يوجد تاريخ", table1[[#This Row],[Column4]]&gt;0,"تم التسليم قبل الموعد",table1[[#This Row],[Column4]]&lt;0,"تم التسليم بعد الموعد")</f>
        <v>لا يوجد تاريخ</v>
      </c>
      <c r="W56"/>
      <c r="X56" t="s">
        <v>234</v>
      </c>
      <c r="Y56" s="1" t="str">
        <f>TRIM(table1[[#This Row],[الحالة]])</f>
        <v>لاغى</v>
      </c>
    </row>
    <row r="57" spans="1:25" ht="20.100000000000001" customHeight="1" x14ac:dyDescent="0.3">
      <c r="A57" t="s">
        <v>402</v>
      </c>
      <c r="B57" t="str">
        <f>IF(OR(table1[[#This Row],[أسم العميل]]="تاكى",table1[[#This Row],[أسم العميل]]="أوسكار راتن",table1[[#This Row],[أسم العميل]]="شيك هومز"),"شركات","أفراد")</f>
        <v>أفراد</v>
      </c>
      <c r="C57" t="s">
        <v>127</v>
      </c>
      <c r="D57" t="s">
        <v>344</v>
      </c>
      <c r="E57" t="s">
        <v>7</v>
      </c>
      <c r="F57" t="s">
        <v>148</v>
      </c>
      <c r="G57" t="s">
        <v>151</v>
      </c>
      <c r="H57" t="s">
        <v>175</v>
      </c>
      <c r="I57">
        <v>120</v>
      </c>
      <c r="J57" t="s">
        <v>333</v>
      </c>
      <c r="K57" t="s">
        <v>333</v>
      </c>
      <c r="L57" t="s">
        <v>419</v>
      </c>
      <c r="M57" t="s">
        <v>128</v>
      </c>
      <c r="N57">
        <v>17886</v>
      </c>
      <c r="O57" t="s">
        <v>113</v>
      </c>
      <c r="P57" s="68">
        <v>45549</v>
      </c>
      <c r="Q57" s="67">
        <v>45594</v>
      </c>
      <c r="R57" s="67"/>
      <c r="S57" s="71">
        <f>IF(OR(ISBLANK(table1[[#This Row],[ميعاد الطلب]]),ISBLANK(table1[[#This Row],[ميعاد التسليم]])),0,table1[[#This Row],[ميعاد التسليم]]-table1[[#This Row],[ميعاد الطلب]])</f>
        <v>45</v>
      </c>
      <c r="T57" s="71">
        <f>IF(OR(ISBLANK(table1[[#This Row],[تاريخ التسليم]]),ISBLANK(table1[[#This Row],[ميعاد الطلب]]),ISBLANK(table1[[#This Row],[ميعاد التسليم]])),0,table1[[#This Row],[تاريخ التسليم]]-table1[[#This Row],[ميعاد الطلب]])</f>
        <v>0</v>
      </c>
      <c r="U57" s="80" t="s">
        <v>429</v>
      </c>
      <c r="V57" s="80" t="str" cm="1">
        <f t="array" ref="V57">_xlfn.IFS(OR(table1[[#This Row],[Column4]]=0,table1[[#This Row],[Column4]]="0"),"لا يوجد تاريخ", table1[[#This Row],[Column4]]&gt;0,"تم التسليم قبل الموعد",table1[[#This Row],[Column4]]&lt;0,"تم التسليم بعد الموعد")</f>
        <v>لا يوجد تاريخ</v>
      </c>
      <c r="W57"/>
      <c r="X57" t="s">
        <v>234</v>
      </c>
      <c r="Y57" s="1" t="str">
        <f>TRIM(table1[[#This Row],[الحالة]])</f>
        <v>لاغى</v>
      </c>
    </row>
    <row r="58" spans="1:25" ht="20.100000000000001" customHeight="1" x14ac:dyDescent="0.3">
      <c r="A58" t="s">
        <v>129</v>
      </c>
      <c r="B58" t="str">
        <f>IF(OR(table1[[#This Row],[أسم العميل]]="تاكى",table1[[#This Row],[أسم العميل]]="أوسكار راتن",table1[[#This Row],[أسم العميل]]="شيك هومز"),"شركات","أفراد")</f>
        <v>أفراد</v>
      </c>
      <c r="C58" t="s">
        <v>66</v>
      </c>
      <c r="D58" t="s">
        <v>344</v>
      </c>
      <c r="E58" t="s">
        <v>7</v>
      </c>
      <c r="F58" t="s">
        <v>148</v>
      </c>
      <c r="G58" t="s">
        <v>151</v>
      </c>
      <c r="H58" t="s">
        <v>154</v>
      </c>
      <c r="I58">
        <v>120</v>
      </c>
      <c r="J58" t="s">
        <v>333</v>
      </c>
      <c r="K58" t="s">
        <v>333</v>
      </c>
      <c r="L58" t="s">
        <v>419</v>
      </c>
      <c r="M58" t="s">
        <v>130</v>
      </c>
      <c r="N58">
        <v>10987</v>
      </c>
      <c r="O58" t="s">
        <v>15</v>
      </c>
      <c r="P58" s="68">
        <v>45549</v>
      </c>
      <c r="Q58" s="67">
        <v>45594</v>
      </c>
      <c r="R58" s="67">
        <v>45578</v>
      </c>
      <c r="S58" s="71">
        <f>IF(OR(ISBLANK(table1[[#This Row],[ميعاد الطلب]]),ISBLANK(table1[[#This Row],[ميعاد التسليم]])),0,table1[[#This Row],[ميعاد التسليم]]-table1[[#This Row],[ميعاد الطلب]])</f>
        <v>45</v>
      </c>
      <c r="T58" s="71">
        <f>IF(OR(ISBLANK(table1[[#This Row],[تاريخ التسليم]]),ISBLANK(table1[[#This Row],[ميعاد الطلب]]),ISBLANK(table1[[#This Row],[ميعاد التسليم]])),0,table1[[#This Row],[تاريخ التسليم]]-table1[[#This Row],[ميعاد الطلب]])</f>
        <v>29</v>
      </c>
      <c r="U58" s="80">
        <v>16</v>
      </c>
      <c r="V58" s="80" t="str" cm="1">
        <f t="array" ref="V58">_xlfn.IFS(OR(table1[[#This Row],[Column4]]=0,table1[[#This Row],[Column4]]="0"),"لا يوجد تاريخ", table1[[#This Row],[Column4]]&gt;0,"تم التسليم قبل الموعد",table1[[#This Row],[Column4]]&lt;0,"تم التسليم بعد الموعد")</f>
        <v>تم التسليم قبل الموعد</v>
      </c>
      <c r="W58" t="s">
        <v>197</v>
      </c>
      <c r="X58" t="s">
        <v>196</v>
      </c>
      <c r="Y58" s="1" t="str">
        <f>TRIM(table1[[#This Row],[الحالة]])</f>
        <v>تم التسليم</v>
      </c>
    </row>
    <row r="59" spans="1:25" ht="20.100000000000001" customHeight="1" x14ac:dyDescent="0.3">
      <c r="A59" t="s">
        <v>129</v>
      </c>
      <c r="B59" t="str">
        <f>IF(OR(table1[[#This Row],[أسم العميل]]="تاكى",table1[[#This Row],[أسم العميل]]="أوسكار راتن",table1[[#This Row],[أسم العميل]]="شيك هومز"),"شركات","أفراد")</f>
        <v>أفراد</v>
      </c>
      <c r="C59" t="s">
        <v>66</v>
      </c>
      <c r="D59" t="s">
        <v>344</v>
      </c>
      <c r="E59" t="s">
        <v>7</v>
      </c>
      <c r="F59" t="s">
        <v>148</v>
      </c>
      <c r="G59" t="s">
        <v>151</v>
      </c>
      <c r="H59" t="s">
        <v>154</v>
      </c>
      <c r="I59">
        <v>120</v>
      </c>
      <c r="J59" t="s">
        <v>333</v>
      </c>
      <c r="K59" t="s">
        <v>333</v>
      </c>
      <c r="L59" t="s">
        <v>419</v>
      </c>
      <c r="M59" t="s">
        <v>130</v>
      </c>
      <c r="N59">
        <v>10987</v>
      </c>
      <c r="O59" t="s">
        <v>15</v>
      </c>
      <c r="P59" s="68">
        <v>45549</v>
      </c>
      <c r="Q59" s="67">
        <v>45594</v>
      </c>
      <c r="R59" s="67">
        <v>45578</v>
      </c>
      <c r="S59" s="71">
        <f>IF(OR(ISBLANK(table1[[#This Row],[ميعاد الطلب]]),ISBLANK(table1[[#This Row],[ميعاد التسليم]])),0,table1[[#This Row],[ميعاد التسليم]]-table1[[#This Row],[ميعاد الطلب]])</f>
        <v>45</v>
      </c>
      <c r="T59" s="71">
        <f>IF(OR(ISBLANK(table1[[#This Row],[تاريخ التسليم]]),ISBLANK(table1[[#This Row],[ميعاد الطلب]]),ISBLANK(table1[[#This Row],[ميعاد التسليم]])),0,table1[[#This Row],[تاريخ التسليم]]-table1[[#This Row],[ميعاد الطلب]])</f>
        <v>29</v>
      </c>
      <c r="U59" s="80">
        <v>16</v>
      </c>
      <c r="V59" s="80" t="str" cm="1">
        <f t="array" ref="V59">_xlfn.IFS(OR(table1[[#This Row],[Column4]]=0,table1[[#This Row],[Column4]]="0"),"لا يوجد تاريخ", table1[[#This Row],[Column4]]&gt;0,"تم التسليم قبل الموعد",table1[[#This Row],[Column4]]&lt;0,"تم التسليم بعد الموعد")</f>
        <v>تم التسليم قبل الموعد</v>
      </c>
      <c r="W59" t="s">
        <v>197</v>
      </c>
      <c r="X59" t="s">
        <v>196</v>
      </c>
      <c r="Y59" s="1" t="str">
        <f>TRIM(table1[[#This Row],[الحالة]])</f>
        <v>تم التسليم</v>
      </c>
    </row>
    <row r="60" spans="1:25" ht="20.100000000000001" customHeight="1" x14ac:dyDescent="0.3">
      <c r="A60" t="s">
        <v>403</v>
      </c>
      <c r="B60" t="str">
        <f>IF(OR(table1[[#This Row],[أسم العميل]]="تاكى",table1[[#This Row],[أسم العميل]]="أوسكار راتن",table1[[#This Row],[أسم العميل]]="شيك هومز"),"شركات","أفراد")</f>
        <v>أفراد</v>
      </c>
      <c r="C60" t="s">
        <v>133</v>
      </c>
      <c r="D60" t="s">
        <v>348</v>
      </c>
      <c r="E60" t="s">
        <v>7</v>
      </c>
      <c r="F60" t="s">
        <v>155</v>
      </c>
      <c r="G60" t="s">
        <v>185</v>
      </c>
      <c r="H60"/>
      <c r="I60"/>
      <c r="J60" t="s">
        <v>419</v>
      </c>
      <c r="K60" t="s">
        <v>419</v>
      </c>
      <c r="L60" t="s">
        <v>419</v>
      </c>
      <c r="M60" t="s">
        <v>62</v>
      </c>
      <c r="N60">
        <v>10319</v>
      </c>
      <c r="O60" t="s">
        <v>15</v>
      </c>
      <c r="P60" s="68">
        <v>45549</v>
      </c>
      <c r="Q60" s="67">
        <v>45594</v>
      </c>
      <c r="R60" s="67">
        <v>45584</v>
      </c>
      <c r="S60" s="71">
        <f>IF(OR(ISBLANK(table1[[#This Row],[ميعاد الطلب]]),ISBLANK(table1[[#This Row],[ميعاد التسليم]])),0,table1[[#This Row],[ميعاد التسليم]]-table1[[#This Row],[ميعاد الطلب]])</f>
        <v>45</v>
      </c>
      <c r="T60" s="71">
        <f>IF(OR(ISBLANK(table1[[#This Row],[تاريخ التسليم]]),ISBLANK(table1[[#This Row],[ميعاد الطلب]]),ISBLANK(table1[[#This Row],[ميعاد التسليم]])),0,table1[[#This Row],[تاريخ التسليم]]-table1[[#This Row],[ميعاد الطلب]])</f>
        <v>35</v>
      </c>
      <c r="U60" s="80">
        <v>10</v>
      </c>
      <c r="V60" s="80" t="str" cm="1">
        <f t="array" ref="V60">_xlfn.IFS(OR(table1[[#This Row],[Column4]]=0,table1[[#This Row],[Column4]]="0"),"لا يوجد تاريخ", table1[[#This Row],[Column4]]&gt;0,"تم التسليم قبل الموعد",table1[[#This Row],[Column4]]&lt;0,"تم التسليم بعد الموعد")</f>
        <v>تم التسليم قبل الموعد</v>
      </c>
      <c r="W60" t="s">
        <v>197</v>
      </c>
      <c r="X60" t="s">
        <v>196</v>
      </c>
      <c r="Y60" s="1" t="str">
        <f>TRIM(table1[[#This Row],[الحالة]])</f>
        <v>تم التسليم</v>
      </c>
    </row>
    <row r="61" spans="1:25" ht="20.100000000000001" customHeight="1" x14ac:dyDescent="0.3">
      <c r="A61" t="s">
        <v>404</v>
      </c>
      <c r="B61" t="str">
        <f>IF(OR(table1[[#This Row],[أسم العميل]]="تاكى",table1[[#This Row],[أسم العميل]]="أوسكار راتن",table1[[#This Row],[أسم العميل]]="شيك هومز"),"شركات","أفراد")</f>
        <v>أفراد</v>
      </c>
      <c r="C61" t="s">
        <v>356</v>
      </c>
      <c r="D61" t="s">
        <v>357</v>
      </c>
      <c r="E61" t="s">
        <v>7</v>
      </c>
      <c r="F61" t="s">
        <v>148</v>
      </c>
      <c r="G61" t="s">
        <v>163</v>
      </c>
      <c r="H61" t="s">
        <v>153</v>
      </c>
      <c r="I61">
        <v>120</v>
      </c>
      <c r="J61" t="s">
        <v>170</v>
      </c>
      <c r="K61" t="s">
        <v>170</v>
      </c>
      <c r="L61" t="s">
        <v>419</v>
      </c>
      <c r="M61" t="s">
        <v>112</v>
      </c>
      <c r="N61">
        <v>12999</v>
      </c>
      <c r="O61" t="s">
        <v>113</v>
      </c>
      <c r="P61" s="68">
        <v>45549</v>
      </c>
      <c r="Q61" s="67">
        <v>45616</v>
      </c>
      <c r="R61" s="67">
        <v>45582</v>
      </c>
      <c r="S61" s="71">
        <f>IF(OR(ISBLANK(table1[[#This Row],[ميعاد الطلب]]),ISBLANK(table1[[#This Row],[ميعاد التسليم]])),0,table1[[#This Row],[ميعاد التسليم]]-table1[[#This Row],[ميعاد الطلب]])</f>
        <v>67</v>
      </c>
      <c r="T61" s="71">
        <f>IF(OR(ISBLANK(table1[[#This Row],[تاريخ التسليم]]),ISBLANK(table1[[#This Row],[ميعاد الطلب]]),ISBLANK(table1[[#This Row],[ميعاد التسليم]])),0,table1[[#This Row],[تاريخ التسليم]]-table1[[#This Row],[ميعاد الطلب]])</f>
        <v>33</v>
      </c>
      <c r="U61" s="80">
        <v>34</v>
      </c>
      <c r="V61" s="80" t="str" cm="1">
        <f t="array" ref="V61">_xlfn.IFS(OR(table1[[#This Row],[Column4]]=0,table1[[#This Row],[Column4]]="0"),"لا يوجد تاريخ", table1[[#This Row],[Column4]]&gt;0,"تم التسليم قبل الموعد",table1[[#This Row],[Column4]]&lt;0,"تم التسليم بعد الموعد")</f>
        <v>تم التسليم قبل الموعد</v>
      </c>
      <c r="W61" t="s">
        <v>27</v>
      </c>
      <c r="X61" t="s">
        <v>196</v>
      </c>
      <c r="Y61" s="1" t="str">
        <f>TRIM(table1[[#This Row],[الحالة]])</f>
        <v>تم التسليم</v>
      </c>
    </row>
    <row r="62" spans="1:25" ht="20.100000000000001" customHeight="1" x14ac:dyDescent="0.3">
      <c r="A62" t="s">
        <v>114</v>
      </c>
      <c r="B62" t="str">
        <f>IF(OR(table1[[#This Row],[أسم العميل]]="تاكى",table1[[#This Row],[أسم العميل]]="أوسكار راتن",table1[[#This Row],[أسم العميل]]="شيك هومز"),"شركات","أفراد")</f>
        <v>أفراد</v>
      </c>
      <c r="C62" t="s">
        <v>115</v>
      </c>
      <c r="D62" t="s">
        <v>343</v>
      </c>
      <c r="E62" t="s">
        <v>7</v>
      </c>
      <c r="F62" t="s">
        <v>159</v>
      </c>
      <c r="G62" t="s">
        <v>162</v>
      </c>
      <c r="H62"/>
      <c r="I62"/>
      <c r="J62" t="s">
        <v>334</v>
      </c>
      <c r="K62" t="s">
        <v>334</v>
      </c>
      <c r="L62" t="s">
        <v>170</v>
      </c>
      <c r="M62" t="s">
        <v>101</v>
      </c>
      <c r="N62">
        <v>21999</v>
      </c>
      <c r="O62" t="s">
        <v>15</v>
      </c>
      <c r="P62" s="68">
        <v>45549</v>
      </c>
      <c r="Q62" s="67">
        <v>45616</v>
      </c>
      <c r="R62" s="67"/>
      <c r="S62" s="71">
        <f>IF(OR(ISBLANK(table1[[#This Row],[ميعاد الطلب]]),ISBLANK(table1[[#This Row],[ميعاد التسليم]])),0,table1[[#This Row],[ميعاد التسليم]]-table1[[#This Row],[ميعاد الطلب]])</f>
        <v>67</v>
      </c>
      <c r="T62" s="71">
        <f>IF(OR(ISBLANK(table1[[#This Row],[تاريخ التسليم]]),ISBLANK(table1[[#This Row],[ميعاد الطلب]]),ISBLANK(table1[[#This Row],[ميعاد التسليم]])),0,table1[[#This Row],[تاريخ التسليم]]-table1[[#This Row],[ميعاد الطلب]])</f>
        <v>0</v>
      </c>
      <c r="U62" s="80" t="s">
        <v>429</v>
      </c>
      <c r="V62" s="80" t="str" cm="1">
        <f t="array" ref="V62">_xlfn.IFS(OR(table1[[#This Row],[Column4]]=0,table1[[#This Row],[Column4]]="0"),"لا يوجد تاريخ", table1[[#This Row],[Column4]]&gt;0,"تم التسليم قبل الموعد",table1[[#This Row],[Column4]]&lt;0,"تم التسليم بعد الموعد")</f>
        <v>لا يوجد تاريخ</v>
      </c>
      <c r="W62"/>
      <c r="X62" t="s">
        <v>234</v>
      </c>
      <c r="Y62" s="1" t="str">
        <f>TRIM(table1[[#This Row],[الحالة]])</f>
        <v>لاغى</v>
      </c>
    </row>
    <row r="63" spans="1:25" ht="20.100000000000001" customHeight="1" x14ac:dyDescent="0.3">
      <c r="A63" t="s">
        <v>405</v>
      </c>
      <c r="B63" t="str">
        <f>IF(OR(table1[[#This Row],[أسم العميل]]="تاكى",table1[[#This Row],[أسم العميل]]="أوسكار راتن",table1[[#This Row],[أسم العميل]]="شيك هومز"),"شركات","أفراد")</f>
        <v>أفراد</v>
      </c>
      <c r="C63" t="s">
        <v>86</v>
      </c>
      <c r="D63" t="s">
        <v>344</v>
      </c>
      <c r="E63" t="s">
        <v>7</v>
      </c>
      <c r="F63" t="s">
        <v>148</v>
      </c>
      <c r="G63" t="s">
        <v>163</v>
      </c>
      <c r="H63" t="s">
        <v>150</v>
      </c>
      <c r="I63">
        <v>100</v>
      </c>
      <c r="J63" t="s">
        <v>170</v>
      </c>
      <c r="K63" t="s">
        <v>170</v>
      </c>
      <c r="L63" t="s">
        <v>419</v>
      </c>
      <c r="M63" t="s">
        <v>125</v>
      </c>
      <c r="N63">
        <v>12399</v>
      </c>
      <c r="O63" t="s">
        <v>15</v>
      </c>
      <c r="P63" s="68">
        <v>45549</v>
      </c>
      <c r="Q63" s="67">
        <v>45616</v>
      </c>
      <c r="R63" s="67">
        <v>45566</v>
      </c>
      <c r="S63" s="71">
        <f>IF(OR(ISBLANK(table1[[#This Row],[ميعاد الطلب]]),ISBLANK(table1[[#This Row],[ميعاد التسليم]])),0,table1[[#This Row],[ميعاد التسليم]]-table1[[#This Row],[ميعاد الطلب]])</f>
        <v>67</v>
      </c>
      <c r="T63" s="71">
        <f>IF(OR(ISBLANK(table1[[#This Row],[تاريخ التسليم]]),ISBLANK(table1[[#This Row],[ميعاد الطلب]]),ISBLANK(table1[[#This Row],[ميعاد التسليم]])),0,table1[[#This Row],[تاريخ التسليم]]-table1[[#This Row],[ميعاد الطلب]])</f>
        <v>17</v>
      </c>
      <c r="U63" s="80">
        <v>50</v>
      </c>
      <c r="V63" s="80" t="str" cm="1">
        <f t="array" ref="V63">_xlfn.IFS(OR(table1[[#This Row],[Column4]]=0,table1[[#This Row],[Column4]]="0"),"لا يوجد تاريخ", table1[[#This Row],[Column4]]&gt;0,"تم التسليم قبل الموعد",table1[[#This Row],[Column4]]&lt;0,"تم التسليم بعد الموعد")</f>
        <v>تم التسليم قبل الموعد</v>
      </c>
      <c r="W63" t="s">
        <v>27</v>
      </c>
      <c r="X63" t="s">
        <v>196</v>
      </c>
      <c r="Y63" s="1" t="str">
        <f>TRIM(table1[[#This Row],[الحالة]])</f>
        <v>تم التسليم</v>
      </c>
    </row>
    <row r="64" spans="1:25" ht="20.100000000000001" customHeight="1" x14ac:dyDescent="0.3">
      <c r="A64" t="s">
        <v>131</v>
      </c>
      <c r="B64" t="str">
        <f>IF(OR(table1[[#This Row],[أسم العميل]]="تاكى",table1[[#This Row],[أسم العميل]]="أوسكار راتن",table1[[#This Row],[أسم العميل]]="شيك هومز"),"شركات","أفراد")</f>
        <v>أفراد</v>
      </c>
      <c r="C64" t="s">
        <v>66</v>
      </c>
      <c r="D64" t="s">
        <v>344</v>
      </c>
      <c r="E64" t="s">
        <v>7</v>
      </c>
      <c r="F64" t="s">
        <v>159</v>
      </c>
      <c r="G64" t="s">
        <v>162</v>
      </c>
      <c r="H64"/>
      <c r="I64"/>
      <c r="J64" t="s">
        <v>334</v>
      </c>
      <c r="K64" t="s">
        <v>334</v>
      </c>
      <c r="L64" t="s">
        <v>170</v>
      </c>
      <c r="M64" t="s">
        <v>101</v>
      </c>
      <c r="N64">
        <v>21999</v>
      </c>
      <c r="O64" t="s">
        <v>15</v>
      </c>
      <c r="P64" s="68">
        <v>45549</v>
      </c>
      <c r="Q64" s="67">
        <v>45616</v>
      </c>
      <c r="R64" s="67">
        <v>45574</v>
      </c>
      <c r="S64" s="71">
        <f>IF(OR(ISBLANK(table1[[#This Row],[ميعاد الطلب]]),ISBLANK(table1[[#This Row],[ميعاد التسليم]])),0,table1[[#This Row],[ميعاد التسليم]]-table1[[#This Row],[ميعاد الطلب]])</f>
        <v>67</v>
      </c>
      <c r="T64" s="71">
        <f>IF(OR(ISBLANK(table1[[#This Row],[تاريخ التسليم]]),ISBLANK(table1[[#This Row],[ميعاد الطلب]]),ISBLANK(table1[[#This Row],[ميعاد التسليم]])),0,table1[[#This Row],[تاريخ التسليم]]-table1[[#This Row],[ميعاد الطلب]])</f>
        <v>25</v>
      </c>
      <c r="U64" s="80">
        <v>42</v>
      </c>
      <c r="V64" s="80" t="str" cm="1">
        <f t="array" ref="V64">_xlfn.IFS(OR(table1[[#This Row],[Column4]]=0,table1[[#This Row],[Column4]]="0"),"لا يوجد تاريخ", table1[[#This Row],[Column4]]&gt;0,"تم التسليم قبل الموعد",table1[[#This Row],[Column4]]&lt;0,"تم التسليم بعد الموعد")</f>
        <v>تم التسليم قبل الموعد</v>
      </c>
      <c r="W64" t="s">
        <v>197</v>
      </c>
      <c r="X64" t="s">
        <v>226</v>
      </c>
      <c r="Y64" s="1" t="str">
        <f>TRIM(table1[[#This Row],[الحالة]])</f>
        <v>تم التسليم</v>
      </c>
    </row>
    <row r="65" spans="1:25" ht="20.100000000000001" customHeight="1" x14ac:dyDescent="0.3">
      <c r="A65" t="s">
        <v>406</v>
      </c>
      <c r="B65" t="str">
        <f>IF(OR(table1[[#This Row],[أسم العميل]]="تاكى",table1[[#This Row],[أسم العميل]]="أوسكار راتن",table1[[#This Row],[أسم العميل]]="شيك هومز"),"شركات","أفراد")</f>
        <v>أفراد</v>
      </c>
      <c r="C65" t="s">
        <v>345</v>
      </c>
      <c r="D65" t="s">
        <v>344</v>
      </c>
      <c r="E65" t="s">
        <v>7</v>
      </c>
      <c r="F65" t="s">
        <v>148</v>
      </c>
      <c r="G65" t="s">
        <v>163</v>
      </c>
      <c r="H65" t="s">
        <v>150</v>
      </c>
      <c r="I65">
        <v>80</v>
      </c>
      <c r="J65" t="s">
        <v>333</v>
      </c>
      <c r="K65" t="s">
        <v>333</v>
      </c>
      <c r="L65" t="s">
        <v>419</v>
      </c>
      <c r="M65" t="s">
        <v>135</v>
      </c>
      <c r="N65">
        <v>10999</v>
      </c>
      <c r="O65" t="s">
        <v>113</v>
      </c>
      <c r="P65" s="68">
        <v>45549</v>
      </c>
      <c r="Q65" s="67">
        <v>45616</v>
      </c>
      <c r="R65" s="67">
        <v>45581</v>
      </c>
      <c r="S65" s="71">
        <f>IF(OR(ISBLANK(table1[[#This Row],[ميعاد الطلب]]),ISBLANK(table1[[#This Row],[ميعاد التسليم]])),0,table1[[#This Row],[ميعاد التسليم]]-table1[[#This Row],[ميعاد الطلب]])</f>
        <v>67</v>
      </c>
      <c r="T65" s="71">
        <f>IF(OR(ISBLANK(table1[[#This Row],[تاريخ التسليم]]),ISBLANK(table1[[#This Row],[ميعاد الطلب]]),ISBLANK(table1[[#This Row],[ميعاد التسليم]])),0,table1[[#This Row],[تاريخ التسليم]]-table1[[#This Row],[ميعاد الطلب]])</f>
        <v>32</v>
      </c>
      <c r="U65" s="80">
        <v>35</v>
      </c>
      <c r="V65" s="80" t="str" cm="1">
        <f t="array" ref="V65">_xlfn.IFS(OR(table1[[#This Row],[Column4]]=0,table1[[#This Row],[Column4]]="0"),"لا يوجد تاريخ", table1[[#This Row],[Column4]]&gt;0,"تم التسليم قبل الموعد",table1[[#This Row],[Column4]]&lt;0,"تم التسليم بعد الموعد")</f>
        <v>تم التسليم قبل الموعد</v>
      </c>
      <c r="W65" t="s">
        <v>197</v>
      </c>
      <c r="X65" t="s">
        <v>226</v>
      </c>
      <c r="Y65" s="1" t="str">
        <f>TRIM(table1[[#This Row],[الحالة]])</f>
        <v>تم التسليم</v>
      </c>
    </row>
    <row r="66" spans="1:25" ht="20.100000000000001" customHeight="1" x14ac:dyDescent="0.3">
      <c r="A66" t="s">
        <v>181</v>
      </c>
      <c r="B66" t="str">
        <f>IF(OR(table1[[#This Row],[أسم العميل]]="تاكى",table1[[#This Row],[أسم العميل]]="أوسكار راتن",table1[[#This Row],[أسم العميل]]="شيك هومز"),"شركات","أفراد")</f>
        <v>أفراد</v>
      </c>
      <c r="C66" t="s">
        <v>182</v>
      </c>
      <c r="D66" t="s">
        <v>344</v>
      </c>
      <c r="E66" t="s">
        <v>7</v>
      </c>
      <c r="F66" t="s">
        <v>148</v>
      </c>
      <c r="G66" t="s">
        <v>163</v>
      </c>
      <c r="H66" t="s">
        <v>153</v>
      </c>
      <c r="I66">
        <v>80</v>
      </c>
      <c r="J66" t="s">
        <v>333</v>
      </c>
      <c r="K66" t="s">
        <v>333</v>
      </c>
      <c r="L66" t="s">
        <v>419</v>
      </c>
      <c r="M66"/>
      <c r="N66">
        <v>10999</v>
      </c>
      <c r="O66" t="s">
        <v>113</v>
      </c>
      <c r="P66" s="68">
        <v>45550</v>
      </c>
      <c r="Q66" s="67">
        <v>45616</v>
      </c>
      <c r="R66" s="67">
        <v>45581</v>
      </c>
      <c r="S66" s="71">
        <f>IF(OR(ISBLANK(table1[[#This Row],[ميعاد الطلب]]),ISBLANK(table1[[#This Row],[ميعاد التسليم]])),0,table1[[#This Row],[ميعاد التسليم]]-table1[[#This Row],[ميعاد الطلب]])</f>
        <v>66</v>
      </c>
      <c r="T66" s="71">
        <f>IF(OR(ISBLANK(table1[[#This Row],[تاريخ التسليم]]),ISBLANK(table1[[#This Row],[ميعاد الطلب]]),ISBLANK(table1[[#This Row],[ميعاد التسليم]])),0,table1[[#This Row],[تاريخ التسليم]]-table1[[#This Row],[ميعاد الطلب]])</f>
        <v>31</v>
      </c>
      <c r="U66" s="80">
        <v>35</v>
      </c>
      <c r="V66" s="80" t="str" cm="1">
        <f t="array" ref="V66">_xlfn.IFS(OR(table1[[#This Row],[Column4]]=0,table1[[#This Row],[Column4]]="0"),"لا يوجد تاريخ", table1[[#This Row],[Column4]]&gt;0,"تم التسليم قبل الموعد",table1[[#This Row],[Column4]]&lt;0,"تم التسليم بعد الموعد")</f>
        <v>تم التسليم قبل الموعد</v>
      </c>
      <c r="W66" t="s">
        <v>197</v>
      </c>
      <c r="X66" t="s">
        <v>226</v>
      </c>
      <c r="Y66" s="1" t="str">
        <f>TRIM(table1[[#This Row],[الحالة]])</f>
        <v>تم التسليم</v>
      </c>
    </row>
    <row r="67" spans="1:25" ht="20.100000000000001" customHeight="1" x14ac:dyDescent="0.3">
      <c r="A67" t="s">
        <v>181</v>
      </c>
      <c r="B67" t="str">
        <f>IF(OR(table1[[#This Row],[أسم العميل]]="تاكى",table1[[#This Row],[أسم العميل]]="أوسكار راتن",table1[[#This Row],[أسم العميل]]="شيك هومز"),"شركات","أفراد")</f>
        <v>أفراد</v>
      </c>
      <c r="C67" t="s">
        <v>182</v>
      </c>
      <c r="D67" t="s">
        <v>344</v>
      </c>
      <c r="E67" t="s">
        <v>7</v>
      </c>
      <c r="F67" t="s">
        <v>148</v>
      </c>
      <c r="G67" t="s">
        <v>163</v>
      </c>
      <c r="H67" t="s">
        <v>153</v>
      </c>
      <c r="I67">
        <v>80</v>
      </c>
      <c r="J67" t="s">
        <v>333</v>
      </c>
      <c r="K67" t="s">
        <v>333</v>
      </c>
      <c r="L67" t="s">
        <v>419</v>
      </c>
      <c r="M67"/>
      <c r="N67">
        <v>10999</v>
      </c>
      <c r="O67" t="s">
        <v>113</v>
      </c>
      <c r="P67" s="68">
        <v>45550</v>
      </c>
      <c r="Q67" s="67">
        <v>45616</v>
      </c>
      <c r="R67" s="67">
        <v>45581</v>
      </c>
      <c r="S67" s="71">
        <f>IF(OR(ISBLANK(table1[[#This Row],[ميعاد الطلب]]),ISBLANK(table1[[#This Row],[ميعاد التسليم]])),0,table1[[#This Row],[ميعاد التسليم]]-table1[[#This Row],[ميعاد الطلب]])</f>
        <v>66</v>
      </c>
      <c r="T67" s="71">
        <f>IF(OR(ISBLANK(table1[[#This Row],[تاريخ التسليم]]),ISBLANK(table1[[#This Row],[ميعاد الطلب]]),ISBLANK(table1[[#This Row],[ميعاد التسليم]])),0,table1[[#This Row],[تاريخ التسليم]]-table1[[#This Row],[ميعاد الطلب]])</f>
        <v>31</v>
      </c>
      <c r="U67" s="80">
        <v>35</v>
      </c>
      <c r="V67" s="80" t="str" cm="1">
        <f t="array" ref="V67">_xlfn.IFS(OR(table1[[#This Row],[Column4]]=0,table1[[#This Row],[Column4]]="0"),"لا يوجد تاريخ", table1[[#This Row],[Column4]]&gt;0,"تم التسليم قبل الموعد",table1[[#This Row],[Column4]]&lt;0,"تم التسليم بعد الموعد")</f>
        <v>تم التسليم قبل الموعد</v>
      </c>
      <c r="W67" t="s">
        <v>197</v>
      </c>
      <c r="X67" t="s">
        <v>226</v>
      </c>
      <c r="Y67" s="1" t="str">
        <f>TRIM(table1[[#This Row],[الحالة]])</f>
        <v>تم التسليم</v>
      </c>
    </row>
    <row r="68" spans="1:25" ht="20.100000000000001" customHeight="1" x14ac:dyDescent="0.3">
      <c r="A68" t="s">
        <v>183</v>
      </c>
      <c r="B68" t="str">
        <f>IF(OR(table1[[#This Row],[أسم العميل]]="تاكى",table1[[#This Row],[أسم العميل]]="أوسكار راتن",table1[[#This Row],[أسم العميل]]="شيك هومز"),"شركات","أفراد")</f>
        <v>أفراد</v>
      </c>
      <c r="C68" t="s">
        <v>184</v>
      </c>
      <c r="D68" t="s">
        <v>344</v>
      </c>
      <c r="E68" t="s">
        <v>7</v>
      </c>
      <c r="F68" t="s">
        <v>159</v>
      </c>
      <c r="G68" t="s">
        <v>162</v>
      </c>
      <c r="H68"/>
      <c r="I68"/>
      <c r="J68" t="s">
        <v>334</v>
      </c>
      <c r="K68" t="s">
        <v>334</v>
      </c>
      <c r="L68" t="s">
        <v>170</v>
      </c>
      <c r="M68"/>
      <c r="N68">
        <v>21999</v>
      </c>
      <c r="O68" t="s">
        <v>113</v>
      </c>
      <c r="P68" s="68">
        <v>45550</v>
      </c>
      <c r="Q68" s="67">
        <v>45616</v>
      </c>
      <c r="R68" s="67">
        <v>45584</v>
      </c>
      <c r="S68" s="71">
        <f>IF(OR(ISBLANK(table1[[#This Row],[ميعاد الطلب]]),ISBLANK(table1[[#This Row],[ميعاد التسليم]])),0,table1[[#This Row],[ميعاد التسليم]]-table1[[#This Row],[ميعاد الطلب]])</f>
        <v>66</v>
      </c>
      <c r="T68" s="71">
        <f>IF(OR(ISBLANK(table1[[#This Row],[تاريخ التسليم]]),ISBLANK(table1[[#This Row],[ميعاد الطلب]]),ISBLANK(table1[[#This Row],[ميعاد التسليم]])),0,table1[[#This Row],[تاريخ التسليم]]-table1[[#This Row],[ميعاد الطلب]])</f>
        <v>34</v>
      </c>
      <c r="U68" s="80">
        <v>32</v>
      </c>
      <c r="V68" s="80" t="str" cm="1">
        <f t="array" ref="V68">_xlfn.IFS(OR(table1[[#This Row],[Column4]]=0,table1[[#This Row],[Column4]]="0"),"لا يوجد تاريخ", table1[[#This Row],[Column4]]&gt;0,"تم التسليم قبل الموعد",table1[[#This Row],[Column4]]&lt;0,"تم التسليم بعد الموعد")</f>
        <v>تم التسليم قبل الموعد</v>
      </c>
      <c r="W68" t="s">
        <v>197</v>
      </c>
      <c r="X68" t="s">
        <v>226</v>
      </c>
      <c r="Y68" s="1" t="str">
        <f>TRIM(table1[[#This Row],[الحالة]])</f>
        <v>تم التسليم</v>
      </c>
    </row>
    <row r="69" spans="1:25" ht="20.100000000000001" customHeight="1" x14ac:dyDescent="0.3">
      <c r="A69" t="s">
        <v>194</v>
      </c>
      <c r="B69" t="str">
        <f>IF(OR(table1[[#This Row],[أسم العميل]]="تاكى",table1[[#This Row],[أسم العميل]]="أوسكار راتن",table1[[#This Row],[أسم العميل]]="شيك هومز"),"شركات","أفراد")</f>
        <v>أفراد</v>
      </c>
      <c r="C69" t="s">
        <v>142</v>
      </c>
      <c r="D69" t="s">
        <v>349</v>
      </c>
      <c r="E69" t="s">
        <v>7</v>
      </c>
      <c r="F69" t="s">
        <v>155</v>
      </c>
      <c r="G69" t="s">
        <v>185</v>
      </c>
      <c r="H69"/>
      <c r="I69"/>
      <c r="J69" t="s">
        <v>419</v>
      </c>
      <c r="K69" t="s">
        <v>419</v>
      </c>
      <c r="L69" t="s">
        <v>419</v>
      </c>
      <c r="M69"/>
      <c r="N69">
        <v>7849</v>
      </c>
      <c r="O69">
        <v>6306</v>
      </c>
      <c r="P69" s="68">
        <v>45551</v>
      </c>
      <c r="Q69" s="67">
        <v>45595</v>
      </c>
      <c r="R69" s="67">
        <v>45610</v>
      </c>
      <c r="S69" s="71">
        <f>IF(OR(ISBLANK(table1[[#This Row],[ميعاد الطلب]]),ISBLANK(table1[[#This Row],[ميعاد التسليم]])),0,table1[[#This Row],[ميعاد التسليم]]-table1[[#This Row],[ميعاد الطلب]])</f>
        <v>44</v>
      </c>
      <c r="T69" s="71">
        <f>IF(OR(ISBLANK(table1[[#This Row],[تاريخ التسليم]]),ISBLANK(table1[[#This Row],[ميعاد الطلب]]),ISBLANK(table1[[#This Row],[ميعاد التسليم]])),0,table1[[#This Row],[تاريخ التسليم]]-table1[[#This Row],[ميعاد الطلب]])</f>
        <v>59</v>
      </c>
      <c r="U69" s="80">
        <v>-15</v>
      </c>
      <c r="V69" s="80" t="str" cm="1">
        <f t="array" ref="V69">_xlfn.IFS(OR(table1[[#This Row],[Column4]]=0,table1[[#This Row],[Column4]]="0"),"لا يوجد تاريخ", table1[[#This Row],[Column4]]&gt;0,"تم التسليم قبل الموعد",table1[[#This Row],[Column4]]&lt;0,"تم التسليم بعد الموعد")</f>
        <v>تم التسليم بعد الموعد</v>
      </c>
      <c r="W69" t="s">
        <v>27</v>
      </c>
      <c r="X69" t="s">
        <v>196</v>
      </c>
      <c r="Y69" s="1" t="str">
        <f>TRIM(table1[[#This Row],[الحالة]])</f>
        <v>تم التسليم</v>
      </c>
    </row>
    <row r="70" spans="1:25" ht="20.100000000000001" customHeight="1" x14ac:dyDescent="0.3">
      <c r="A70" t="s">
        <v>81</v>
      </c>
      <c r="B70" t="str">
        <f>IF(OR(table1[[#This Row],[أسم العميل]]="تاكى",table1[[#This Row],[أسم العميل]]="أوسكار راتن",table1[[#This Row],[أسم العميل]]="شيك هومز"),"شركات","أفراد")</f>
        <v>شركات</v>
      </c>
      <c r="C70" t="s">
        <v>358</v>
      </c>
      <c r="D70" t="s">
        <v>348</v>
      </c>
      <c r="E70" t="s">
        <v>414</v>
      </c>
      <c r="F70" t="s">
        <v>148</v>
      </c>
      <c r="G70" t="s">
        <v>163</v>
      </c>
      <c r="H70" t="s">
        <v>153</v>
      </c>
      <c r="I70">
        <v>80</v>
      </c>
      <c r="J70" t="s">
        <v>333</v>
      </c>
      <c r="K70" t="s">
        <v>333</v>
      </c>
      <c r="L70" t="s">
        <v>419</v>
      </c>
      <c r="M70"/>
      <c r="N70">
        <v>5074</v>
      </c>
      <c r="O70" t="s">
        <v>83</v>
      </c>
      <c r="P70" s="68">
        <v>45556</v>
      </c>
      <c r="Q70" s="67">
        <v>45570</v>
      </c>
      <c r="R70" s="67">
        <v>45577</v>
      </c>
      <c r="S70" s="71">
        <f>IF(OR(ISBLANK(table1[[#This Row],[ميعاد الطلب]]),ISBLANK(table1[[#This Row],[ميعاد التسليم]])),0,table1[[#This Row],[ميعاد التسليم]]-table1[[#This Row],[ميعاد الطلب]])</f>
        <v>14</v>
      </c>
      <c r="T70" s="71">
        <f>IF(OR(ISBLANK(table1[[#This Row],[تاريخ التسليم]]),ISBLANK(table1[[#This Row],[ميعاد الطلب]]),ISBLANK(table1[[#This Row],[ميعاد التسليم]])),0,table1[[#This Row],[تاريخ التسليم]]-table1[[#This Row],[ميعاد الطلب]])</f>
        <v>21</v>
      </c>
      <c r="U70" s="80">
        <v>-7</v>
      </c>
      <c r="V70" s="80" t="str" cm="1">
        <f t="array" ref="V70">_xlfn.IFS(OR(table1[[#This Row],[Column4]]=0,table1[[#This Row],[Column4]]="0"),"لا يوجد تاريخ", table1[[#This Row],[Column4]]&gt;0,"تم التسليم قبل الموعد",table1[[#This Row],[Column4]]&lt;0,"تم التسليم بعد الموعد")</f>
        <v>تم التسليم بعد الموعد</v>
      </c>
      <c r="W70" t="s">
        <v>197</v>
      </c>
      <c r="X70" t="s">
        <v>226</v>
      </c>
      <c r="Y70" s="1" t="str">
        <f>TRIM(table1[[#This Row],[الحالة]])</f>
        <v>تم التسليم</v>
      </c>
    </row>
    <row r="71" spans="1:25" ht="20.100000000000001" customHeight="1" x14ac:dyDescent="0.3">
      <c r="A71" t="s">
        <v>42</v>
      </c>
      <c r="B71" t="str">
        <f>IF(OR(table1[[#This Row],[أسم العميل]]="تاكى",table1[[#This Row],[أسم العميل]]="أوسكار راتن",table1[[#This Row],[أسم العميل]]="شيك هومز"),"شركات","أفراد")</f>
        <v>شركات</v>
      </c>
      <c r="C71" t="s">
        <v>41</v>
      </c>
      <c r="D71" t="s">
        <v>344</v>
      </c>
      <c r="E71" t="s">
        <v>42</v>
      </c>
      <c r="F71" t="s">
        <v>148</v>
      </c>
      <c r="G71" t="s">
        <v>163</v>
      </c>
      <c r="H71" t="s">
        <v>152</v>
      </c>
      <c r="I71">
        <v>100</v>
      </c>
      <c r="J71" t="s">
        <v>417</v>
      </c>
      <c r="K71" t="s">
        <v>417</v>
      </c>
      <c r="L71" t="s">
        <v>419</v>
      </c>
      <c r="M71"/>
      <c r="N71">
        <v>6250</v>
      </c>
      <c r="O71" t="s">
        <v>83</v>
      </c>
      <c r="P71" s="68">
        <v>45558</v>
      </c>
      <c r="Q71" s="67">
        <v>45573</v>
      </c>
      <c r="R71" s="67">
        <v>45582</v>
      </c>
      <c r="S71" s="71">
        <f>IF(OR(ISBLANK(table1[[#This Row],[ميعاد الطلب]]),ISBLANK(table1[[#This Row],[ميعاد التسليم]])),0,table1[[#This Row],[ميعاد التسليم]]-table1[[#This Row],[ميعاد الطلب]])</f>
        <v>15</v>
      </c>
      <c r="T71" s="71">
        <f>IF(OR(ISBLANK(table1[[#This Row],[تاريخ التسليم]]),ISBLANK(table1[[#This Row],[ميعاد الطلب]]),ISBLANK(table1[[#This Row],[ميعاد التسليم]])),0,table1[[#This Row],[تاريخ التسليم]]-table1[[#This Row],[ميعاد الطلب]])</f>
        <v>24</v>
      </c>
      <c r="U71" s="80">
        <v>-9</v>
      </c>
      <c r="V71" s="80" t="str" cm="1">
        <f t="array" ref="V71">_xlfn.IFS(OR(table1[[#This Row],[Column4]]=0,table1[[#This Row],[Column4]]="0"),"لا يوجد تاريخ", table1[[#This Row],[Column4]]&gt;0,"تم التسليم قبل الموعد",table1[[#This Row],[Column4]]&lt;0,"تم التسليم بعد الموعد")</f>
        <v>تم التسليم بعد الموعد</v>
      </c>
      <c r="W71" t="s">
        <v>197</v>
      </c>
      <c r="X71" t="s">
        <v>226</v>
      </c>
      <c r="Y71" s="1" t="str">
        <f>TRIM(table1[[#This Row],[الحالة]])</f>
        <v>تم التسليم</v>
      </c>
    </row>
    <row r="72" spans="1:25" ht="20.100000000000001" customHeight="1" x14ac:dyDescent="0.3">
      <c r="A72" t="s">
        <v>42</v>
      </c>
      <c r="B72" t="str">
        <f>IF(OR(table1[[#This Row],[أسم العميل]]="تاكى",table1[[#This Row],[أسم العميل]]="أوسكار راتن",table1[[#This Row],[أسم العميل]]="شيك هومز"),"شركات","أفراد")</f>
        <v>شركات</v>
      </c>
      <c r="C72" t="s">
        <v>41</v>
      </c>
      <c r="D72" t="s">
        <v>344</v>
      </c>
      <c r="E72" t="s">
        <v>42</v>
      </c>
      <c r="F72" t="s">
        <v>148</v>
      </c>
      <c r="G72" t="s">
        <v>163</v>
      </c>
      <c r="H72" t="s">
        <v>152</v>
      </c>
      <c r="I72">
        <v>100</v>
      </c>
      <c r="J72" t="s">
        <v>417</v>
      </c>
      <c r="K72" t="s">
        <v>417</v>
      </c>
      <c r="L72" t="s">
        <v>419</v>
      </c>
      <c r="M72"/>
      <c r="N72">
        <v>6250</v>
      </c>
      <c r="O72" t="s">
        <v>83</v>
      </c>
      <c r="P72" s="68">
        <v>45558</v>
      </c>
      <c r="Q72" s="67">
        <v>45573</v>
      </c>
      <c r="R72" s="67">
        <v>45582</v>
      </c>
      <c r="S72" s="71">
        <f>IF(OR(ISBLANK(table1[[#This Row],[ميعاد الطلب]]),ISBLANK(table1[[#This Row],[ميعاد التسليم]])),0,table1[[#This Row],[ميعاد التسليم]]-table1[[#This Row],[ميعاد الطلب]])</f>
        <v>15</v>
      </c>
      <c r="T72" s="71">
        <f>IF(OR(ISBLANK(table1[[#This Row],[تاريخ التسليم]]),ISBLANK(table1[[#This Row],[ميعاد الطلب]]),ISBLANK(table1[[#This Row],[ميعاد التسليم]])),0,table1[[#This Row],[تاريخ التسليم]]-table1[[#This Row],[ميعاد الطلب]])</f>
        <v>24</v>
      </c>
      <c r="U72" s="80">
        <v>-9</v>
      </c>
      <c r="V72" s="80" t="str" cm="1">
        <f t="array" ref="V72">_xlfn.IFS(OR(table1[[#This Row],[Column4]]=0,table1[[#This Row],[Column4]]="0"),"لا يوجد تاريخ", table1[[#This Row],[Column4]]&gt;0,"تم التسليم قبل الموعد",table1[[#This Row],[Column4]]&lt;0,"تم التسليم بعد الموعد")</f>
        <v>تم التسليم بعد الموعد</v>
      </c>
      <c r="W72" t="s">
        <v>197</v>
      </c>
      <c r="X72" t="s">
        <v>226</v>
      </c>
      <c r="Y72" s="1" t="str">
        <f>TRIM(table1[[#This Row],[الحالة]])</f>
        <v>تم التسليم</v>
      </c>
    </row>
    <row r="73" spans="1:25" ht="20.100000000000001" customHeight="1" x14ac:dyDescent="0.3">
      <c r="A73" t="s">
        <v>200</v>
      </c>
      <c r="B73" t="str">
        <f>IF(OR(table1[[#This Row],[أسم العميل]]="تاكى",table1[[#This Row],[أسم العميل]]="أوسكار راتن",table1[[#This Row],[أسم العميل]]="شيك هومز"),"شركات","أفراد")</f>
        <v>أفراد</v>
      </c>
      <c r="C73" t="s">
        <v>41</v>
      </c>
      <c r="D73" t="s">
        <v>344</v>
      </c>
      <c r="E73" t="s">
        <v>7</v>
      </c>
      <c r="F73" t="s">
        <v>148</v>
      </c>
      <c r="G73" t="s">
        <v>151</v>
      </c>
      <c r="H73" t="s">
        <v>175</v>
      </c>
      <c r="I73">
        <v>120</v>
      </c>
      <c r="J73" t="s">
        <v>333</v>
      </c>
      <c r="K73" t="s">
        <v>333</v>
      </c>
      <c r="L73" t="s">
        <v>419</v>
      </c>
      <c r="M73"/>
      <c r="N73">
        <v>8943</v>
      </c>
      <c r="O73">
        <v>9033</v>
      </c>
      <c r="P73" s="68">
        <v>45561</v>
      </c>
      <c r="Q73" s="67">
        <v>45606</v>
      </c>
      <c r="R73" s="67">
        <v>45575</v>
      </c>
      <c r="S73" s="71">
        <f>IF(OR(ISBLANK(table1[[#This Row],[ميعاد الطلب]]),ISBLANK(table1[[#This Row],[ميعاد التسليم]])),0,table1[[#This Row],[ميعاد التسليم]]-table1[[#This Row],[ميعاد الطلب]])</f>
        <v>45</v>
      </c>
      <c r="T73" s="71">
        <f>IF(OR(ISBLANK(table1[[#This Row],[تاريخ التسليم]]),ISBLANK(table1[[#This Row],[ميعاد الطلب]]),ISBLANK(table1[[#This Row],[ميعاد التسليم]])),0,table1[[#This Row],[تاريخ التسليم]]-table1[[#This Row],[ميعاد الطلب]])</f>
        <v>14</v>
      </c>
      <c r="U73" s="80">
        <v>31</v>
      </c>
      <c r="V73" s="80" t="str" cm="1">
        <f t="array" ref="V73">_xlfn.IFS(OR(table1[[#This Row],[Column4]]=0,table1[[#This Row],[Column4]]="0"),"لا يوجد تاريخ", table1[[#This Row],[Column4]]&gt;0,"تم التسليم قبل الموعد",table1[[#This Row],[Column4]]&lt;0,"تم التسليم بعد الموعد")</f>
        <v>تم التسليم قبل الموعد</v>
      </c>
      <c r="W73" t="s">
        <v>197</v>
      </c>
      <c r="X73" t="s">
        <v>226</v>
      </c>
      <c r="Y73" s="1" t="str">
        <f>TRIM(table1[[#This Row],[الحالة]])</f>
        <v>تم التسليم</v>
      </c>
    </row>
    <row r="74" spans="1:25" ht="20.100000000000001" customHeight="1" x14ac:dyDescent="0.3">
      <c r="A74" t="s">
        <v>201</v>
      </c>
      <c r="B74" t="str">
        <f>IF(OR(table1[[#This Row],[أسم العميل]]="تاكى",table1[[#This Row],[أسم العميل]]="أوسكار راتن",table1[[#This Row],[أسم العميل]]="شيك هومز"),"شركات","أفراد")</f>
        <v>أفراد</v>
      </c>
      <c r="C74" t="s">
        <v>202</v>
      </c>
      <c r="D74" t="s">
        <v>339</v>
      </c>
      <c r="E74" t="s">
        <v>7</v>
      </c>
      <c r="F74" t="s">
        <v>155</v>
      </c>
      <c r="G74" t="s">
        <v>187</v>
      </c>
      <c r="H74"/>
      <c r="I74"/>
      <c r="J74" t="s">
        <v>419</v>
      </c>
      <c r="K74" t="s">
        <v>419</v>
      </c>
      <c r="L74" t="s">
        <v>419</v>
      </c>
      <c r="M74"/>
      <c r="N74">
        <v>8349</v>
      </c>
      <c r="O74">
        <v>8433</v>
      </c>
      <c r="P74" s="68">
        <v>45561</v>
      </c>
      <c r="Q74" s="67">
        <v>45606</v>
      </c>
      <c r="R74" s="67"/>
      <c r="S74" s="71">
        <f>IF(OR(ISBLANK(table1[[#This Row],[ميعاد الطلب]]),ISBLANK(table1[[#This Row],[ميعاد التسليم]])),0,table1[[#This Row],[ميعاد التسليم]]-table1[[#This Row],[ميعاد الطلب]])</f>
        <v>45</v>
      </c>
      <c r="T74" s="71">
        <f>IF(OR(ISBLANK(table1[[#This Row],[تاريخ التسليم]]),ISBLANK(table1[[#This Row],[ميعاد الطلب]]),ISBLANK(table1[[#This Row],[ميعاد التسليم]])),0,table1[[#This Row],[تاريخ التسليم]]-table1[[#This Row],[ميعاد الطلب]])</f>
        <v>0</v>
      </c>
      <c r="U74" s="80" t="s">
        <v>429</v>
      </c>
      <c r="V74" s="80" t="str" cm="1">
        <f t="array" ref="V74">_xlfn.IFS(OR(table1[[#This Row],[Column4]]=0,table1[[#This Row],[Column4]]="0"),"لا يوجد تاريخ", table1[[#This Row],[Column4]]&gt;0,"تم التسليم قبل الموعد",table1[[#This Row],[Column4]]&lt;0,"تم التسليم بعد الموعد")</f>
        <v>لا يوجد تاريخ</v>
      </c>
      <c r="W74"/>
      <c r="X74" t="s">
        <v>234</v>
      </c>
      <c r="Y74" s="1" t="str">
        <f>TRIM(table1[[#This Row],[الحالة]])</f>
        <v>لاغى</v>
      </c>
    </row>
    <row r="75" spans="1:25" ht="20.100000000000001" customHeight="1" x14ac:dyDescent="0.3">
      <c r="A75" t="s">
        <v>51</v>
      </c>
      <c r="B75" t="str">
        <f>IF(OR(table1[[#This Row],[أسم العميل]]="تاكى",table1[[#This Row],[أسم العميل]]="أوسكار راتن",table1[[#This Row],[أسم العميل]]="شيك هومز"),"شركات","أفراد")</f>
        <v>شركات</v>
      </c>
      <c r="C75" t="s">
        <v>228</v>
      </c>
      <c r="D75" t="s">
        <v>344</v>
      </c>
      <c r="E75" t="s">
        <v>51</v>
      </c>
      <c r="F75" t="s">
        <v>159</v>
      </c>
      <c r="G75" t="s">
        <v>204</v>
      </c>
      <c r="H75"/>
      <c r="I75"/>
      <c r="J75" t="s">
        <v>419</v>
      </c>
      <c r="K75" t="s">
        <v>419</v>
      </c>
      <c r="L75" t="s">
        <v>420</v>
      </c>
      <c r="M75"/>
      <c r="N75">
        <v>14950</v>
      </c>
      <c r="O75" t="s">
        <v>15</v>
      </c>
      <c r="P75" s="68">
        <v>45561</v>
      </c>
      <c r="Q75" s="67">
        <v>45579</v>
      </c>
      <c r="R75" s="67">
        <v>45578</v>
      </c>
      <c r="S75" s="71">
        <f>IF(OR(ISBLANK(table1[[#This Row],[ميعاد الطلب]]),ISBLANK(table1[[#This Row],[ميعاد التسليم]])),0,table1[[#This Row],[ميعاد التسليم]]-table1[[#This Row],[ميعاد الطلب]])</f>
        <v>18</v>
      </c>
      <c r="T75" s="71">
        <f>IF(OR(ISBLANK(table1[[#This Row],[تاريخ التسليم]]),ISBLANK(table1[[#This Row],[ميعاد الطلب]]),ISBLANK(table1[[#This Row],[ميعاد التسليم]])),0,table1[[#This Row],[تاريخ التسليم]]-table1[[#This Row],[ميعاد الطلب]])</f>
        <v>17</v>
      </c>
      <c r="U75" s="80">
        <v>1</v>
      </c>
      <c r="V75" s="80" t="str" cm="1">
        <f t="array" ref="V75">_xlfn.IFS(OR(table1[[#This Row],[Column4]]=0,table1[[#This Row],[Column4]]="0"),"لا يوجد تاريخ", table1[[#This Row],[Column4]]&gt;0,"تم التسليم قبل الموعد",table1[[#This Row],[Column4]]&lt;0,"تم التسليم بعد الموعد")</f>
        <v>تم التسليم قبل الموعد</v>
      </c>
      <c r="W75" t="s">
        <v>197</v>
      </c>
      <c r="X75" t="s">
        <v>196</v>
      </c>
      <c r="Y75" s="1" t="str">
        <f>TRIM(table1[[#This Row],[الحالة]])</f>
        <v>تم التسليم</v>
      </c>
    </row>
    <row r="76" spans="1:25" ht="20.100000000000001" customHeight="1" x14ac:dyDescent="0.3">
      <c r="A76" t="s">
        <v>51</v>
      </c>
      <c r="B76" t="str">
        <f>IF(OR(table1[[#This Row],[أسم العميل]]="تاكى",table1[[#This Row],[أسم العميل]]="أوسكار راتن",table1[[#This Row],[أسم العميل]]="شيك هومز"),"شركات","أفراد")</f>
        <v>شركات</v>
      </c>
      <c r="C76"/>
      <c r="D76" t="e">
        <v>#N/A</v>
      </c>
      <c r="E76" t="s">
        <v>51</v>
      </c>
      <c r="F76" t="s">
        <v>148</v>
      </c>
      <c r="G76" t="s">
        <v>163</v>
      </c>
      <c r="H76" t="s">
        <v>152</v>
      </c>
      <c r="I76">
        <v>100</v>
      </c>
      <c r="J76" t="s">
        <v>334</v>
      </c>
      <c r="K76" t="s">
        <v>334</v>
      </c>
      <c r="L76" t="s">
        <v>419</v>
      </c>
      <c r="M76"/>
      <c r="N76">
        <v>9208</v>
      </c>
      <c r="O76">
        <v>9608</v>
      </c>
      <c r="P76" s="68">
        <v>45561</v>
      </c>
      <c r="Q76" s="67">
        <v>45579</v>
      </c>
      <c r="R76" s="67"/>
      <c r="S76" s="71">
        <f>IF(OR(ISBLANK(table1[[#This Row],[ميعاد الطلب]]),ISBLANK(table1[[#This Row],[ميعاد التسليم]])),0,table1[[#This Row],[ميعاد التسليم]]-table1[[#This Row],[ميعاد الطلب]])</f>
        <v>18</v>
      </c>
      <c r="T76" s="71">
        <f>IF(OR(ISBLANK(table1[[#This Row],[تاريخ التسليم]]),ISBLANK(table1[[#This Row],[ميعاد الطلب]]),ISBLANK(table1[[#This Row],[ميعاد التسليم]])),0,table1[[#This Row],[تاريخ التسليم]]-table1[[#This Row],[ميعاد الطلب]])</f>
        <v>0</v>
      </c>
      <c r="U76" s="80" t="s">
        <v>429</v>
      </c>
      <c r="V76" s="80" t="str" cm="1">
        <f t="array" ref="V76">_xlfn.IFS(OR(table1[[#This Row],[Column4]]=0,table1[[#This Row],[Column4]]="0"),"لا يوجد تاريخ", table1[[#This Row],[Column4]]&gt;0,"تم التسليم قبل الموعد",table1[[#This Row],[Column4]]&lt;0,"تم التسليم بعد الموعد")</f>
        <v>لا يوجد تاريخ</v>
      </c>
      <c r="W76"/>
      <c r="X76" t="s">
        <v>234</v>
      </c>
      <c r="Y76" s="1" t="str">
        <f>TRIM(table1[[#This Row],[الحالة]])</f>
        <v>لاغى</v>
      </c>
    </row>
    <row r="77" spans="1:25" ht="20.100000000000001" customHeight="1" x14ac:dyDescent="0.3">
      <c r="A77" t="s">
        <v>51</v>
      </c>
      <c r="B77" t="str">
        <f>IF(OR(table1[[#This Row],[أسم العميل]]="تاكى",table1[[#This Row],[أسم العميل]]="أوسكار راتن",table1[[#This Row],[أسم العميل]]="شيك هومز"),"شركات","أفراد")</f>
        <v>شركات</v>
      </c>
      <c r="C77"/>
      <c r="D77" t="e">
        <v>#N/A</v>
      </c>
      <c r="E77" t="s">
        <v>51</v>
      </c>
      <c r="F77" t="s">
        <v>148</v>
      </c>
      <c r="G77" t="s">
        <v>151</v>
      </c>
      <c r="H77" t="s">
        <v>154</v>
      </c>
      <c r="I77">
        <v>120</v>
      </c>
      <c r="J77" t="s">
        <v>333</v>
      </c>
      <c r="K77" t="s">
        <v>333</v>
      </c>
      <c r="L77" t="s">
        <v>419</v>
      </c>
      <c r="M77"/>
      <c r="N77">
        <v>7433</v>
      </c>
      <c r="O77" t="s">
        <v>15</v>
      </c>
      <c r="P77" s="68">
        <v>45564</v>
      </c>
      <c r="Q77" s="67">
        <v>45585</v>
      </c>
      <c r="R77" s="67">
        <v>45586</v>
      </c>
      <c r="S77" s="71">
        <f>IF(OR(ISBLANK(table1[[#This Row],[ميعاد الطلب]]),ISBLANK(table1[[#This Row],[ميعاد التسليم]])),0,table1[[#This Row],[ميعاد التسليم]]-table1[[#This Row],[ميعاد الطلب]])</f>
        <v>21</v>
      </c>
      <c r="T77" s="71">
        <f>IF(OR(ISBLANK(table1[[#This Row],[تاريخ التسليم]]),ISBLANK(table1[[#This Row],[ميعاد الطلب]]),ISBLANK(table1[[#This Row],[ميعاد التسليم]])),0,table1[[#This Row],[تاريخ التسليم]]-table1[[#This Row],[ميعاد الطلب]])</f>
        <v>22</v>
      </c>
      <c r="U77" s="80">
        <v>-1</v>
      </c>
      <c r="V77" s="80" t="str" cm="1">
        <f t="array" ref="V77">_xlfn.IFS(OR(table1[[#This Row],[Column4]]=0,table1[[#This Row],[Column4]]="0"),"لا يوجد تاريخ", table1[[#This Row],[Column4]]&gt;0,"تم التسليم قبل الموعد",table1[[#This Row],[Column4]]&lt;0,"تم التسليم بعد الموعد")</f>
        <v>تم التسليم بعد الموعد</v>
      </c>
      <c r="W77" t="s">
        <v>197</v>
      </c>
      <c r="X77" t="s">
        <v>196</v>
      </c>
      <c r="Y77" s="1" t="str">
        <f>TRIM(table1[[#This Row],[الحالة]])</f>
        <v>تم التسليم</v>
      </c>
    </row>
    <row r="78" spans="1:25" ht="20.100000000000001" customHeight="1" x14ac:dyDescent="0.3">
      <c r="A78" t="s">
        <v>81</v>
      </c>
      <c r="B78" t="str">
        <f>IF(OR(table1[[#This Row],[أسم العميل]]="تاكى",table1[[#This Row],[أسم العميل]]="أوسكار راتن",table1[[#This Row],[أسم العميل]]="شيك هومز"),"شركات","أفراد")</f>
        <v>شركات</v>
      </c>
      <c r="C78" t="s">
        <v>358</v>
      </c>
      <c r="D78" t="s">
        <v>348</v>
      </c>
      <c r="E78" t="s">
        <v>414</v>
      </c>
      <c r="F78" t="s">
        <v>148</v>
      </c>
      <c r="G78" t="s">
        <v>151</v>
      </c>
      <c r="H78" t="s">
        <v>175</v>
      </c>
      <c r="I78">
        <v>120</v>
      </c>
      <c r="J78" t="s">
        <v>333</v>
      </c>
      <c r="K78" t="s">
        <v>333</v>
      </c>
      <c r="L78" t="s">
        <v>419</v>
      </c>
      <c r="M78"/>
      <c r="N78">
        <v>4020</v>
      </c>
      <c r="O78" t="s">
        <v>83</v>
      </c>
      <c r="P78" s="68">
        <v>45564</v>
      </c>
      <c r="Q78" s="67">
        <v>45577</v>
      </c>
      <c r="R78" s="67">
        <v>45577</v>
      </c>
      <c r="S78" s="71">
        <f>IF(OR(ISBLANK(table1[[#This Row],[ميعاد الطلب]]),ISBLANK(table1[[#This Row],[ميعاد التسليم]])),0,table1[[#This Row],[ميعاد التسليم]]-table1[[#This Row],[ميعاد الطلب]])</f>
        <v>13</v>
      </c>
      <c r="T78" s="71">
        <f>IF(OR(ISBLANK(table1[[#This Row],[تاريخ التسليم]]),ISBLANK(table1[[#This Row],[ميعاد الطلب]]),ISBLANK(table1[[#This Row],[ميعاد التسليم]])),0,table1[[#This Row],[تاريخ التسليم]]-table1[[#This Row],[ميعاد الطلب]])</f>
        <v>13</v>
      </c>
      <c r="U78" s="80">
        <v>0</v>
      </c>
      <c r="V78" s="80" t="str" cm="1">
        <f t="array" ref="V78">_xlfn.IFS(OR(table1[[#This Row],[Column4]]=0,table1[[#This Row],[Column4]]="0"),"لا يوجد تاريخ", table1[[#This Row],[Column4]]&gt;0,"تم التسليم قبل الموعد",table1[[#This Row],[Column4]]&lt;0,"تم التسليم بعد الموعد")</f>
        <v>لا يوجد تاريخ</v>
      </c>
      <c r="W78" t="s">
        <v>197</v>
      </c>
      <c r="X78" t="s">
        <v>226</v>
      </c>
      <c r="Y78" s="1" t="str">
        <f>TRIM(table1[[#This Row],[الحالة]])</f>
        <v>تم التسليم</v>
      </c>
    </row>
    <row r="79" spans="1:25" ht="20.100000000000001" customHeight="1" x14ac:dyDescent="0.3">
      <c r="A79" t="s">
        <v>208</v>
      </c>
      <c r="B79" t="str">
        <f>IF(OR(table1[[#This Row],[أسم العميل]]="تاكى",table1[[#This Row],[أسم العميل]]="أوسكار راتن",table1[[#This Row],[أسم العميل]]="شيك هومز"),"شركات","أفراد")</f>
        <v>أفراد</v>
      </c>
      <c r="C79" t="s">
        <v>210</v>
      </c>
      <c r="D79" t="s">
        <v>349</v>
      </c>
      <c r="E79" t="s">
        <v>210</v>
      </c>
      <c r="F79" t="s">
        <v>148</v>
      </c>
      <c r="G79" t="s">
        <v>163</v>
      </c>
      <c r="H79" t="s">
        <v>211</v>
      </c>
      <c r="I79">
        <v>100</v>
      </c>
      <c r="J79" t="s">
        <v>212</v>
      </c>
      <c r="K79" t="s">
        <v>212</v>
      </c>
      <c r="L79" t="s">
        <v>419</v>
      </c>
      <c r="M79"/>
      <c r="N79">
        <v>8544.9054400000005</v>
      </c>
      <c r="O79"/>
      <c r="P79" s="68">
        <v>45566</v>
      </c>
      <c r="Q79" s="67">
        <v>45574</v>
      </c>
      <c r="R79" s="67">
        <v>45574</v>
      </c>
      <c r="S79" s="71">
        <f>IF(OR(ISBLANK(table1[[#This Row],[ميعاد الطلب]]),ISBLANK(table1[[#This Row],[ميعاد التسليم]])),0,table1[[#This Row],[ميعاد التسليم]]-table1[[#This Row],[ميعاد الطلب]])</f>
        <v>8</v>
      </c>
      <c r="T79" s="71">
        <f>IF(OR(ISBLANK(table1[[#This Row],[تاريخ التسليم]]),ISBLANK(table1[[#This Row],[ميعاد الطلب]]),ISBLANK(table1[[#This Row],[ميعاد التسليم]])),0,table1[[#This Row],[تاريخ التسليم]]-table1[[#This Row],[ميعاد الطلب]])</f>
        <v>8</v>
      </c>
      <c r="U79" s="80">
        <v>0</v>
      </c>
      <c r="V79" s="80" t="str" cm="1">
        <f t="array" ref="V79">_xlfn.IFS(OR(table1[[#This Row],[Column4]]=0,table1[[#This Row],[Column4]]="0"),"لا يوجد تاريخ", table1[[#This Row],[Column4]]&gt;0,"تم التسليم قبل الموعد",table1[[#This Row],[Column4]]&lt;0,"تم التسليم بعد الموعد")</f>
        <v>لا يوجد تاريخ</v>
      </c>
      <c r="W79" t="s">
        <v>225</v>
      </c>
      <c r="X79" t="s">
        <v>196</v>
      </c>
      <c r="Y79" s="1" t="str">
        <f>TRIM(table1[[#This Row],[الحالة]])</f>
        <v>تم التسليم</v>
      </c>
    </row>
    <row r="80" spans="1:25" ht="20.100000000000001" customHeight="1" x14ac:dyDescent="0.3">
      <c r="A80" t="s">
        <v>208</v>
      </c>
      <c r="B80" t="str">
        <f>IF(OR(table1[[#This Row],[أسم العميل]]="تاكى",table1[[#This Row],[أسم العميل]]="أوسكار راتن",table1[[#This Row],[أسم العميل]]="شيك هومز"),"شركات","أفراد")</f>
        <v>أفراد</v>
      </c>
      <c r="C80" t="s">
        <v>210</v>
      </c>
      <c r="D80" t="s">
        <v>349</v>
      </c>
      <c r="E80" t="s">
        <v>210</v>
      </c>
      <c r="F80" t="s">
        <v>148</v>
      </c>
      <c r="G80" t="s">
        <v>149</v>
      </c>
      <c r="H80"/>
      <c r="I80"/>
      <c r="J80" t="s">
        <v>334</v>
      </c>
      <c r="K80" t="s">
        <v>334</v>
      </c>
      <c r="L80" t="s">
        <v>216</v>
      </c>
      <c r="M80"/>
      <c r="N80">
        <v>4600</v>
      </c>
      <c r="O80"/>
      <c r="P80" s="68">
        <v>45566</v>
      </c>
      <c r="Q80" s="67">
        <v>45574</v>
      </c>
      <c r="R80" s="67">
        <v>45574</v>
      </c>
      <c r="S80" s="71">
        <f>IF(OR(ISBLANK(table1[[#This Row],[ميعاد الطلب]]),ISBLANK(table1[[#This Row],[ميعاد التسليم]])),0,table1[[#This Row],[ميعاد التسليم]]-table1[[#This Row],[ميعاد الطلب]])</f>
        <v>8</v>
      </c>
      <c r="T80" s="71">
        <f>IF(OR(ISBLANK(table1[[#This Row],[تاريخ التسليم]]),ISBLANK(table1[[#This Row],[ميعاد الطلب]]),ISBLANK(table1[[#This Row],[ميعاد التسليم]])),0,table1[[#This Row],[تاريخ التسليم]]-table1[[#This Row],[ميعاد الطلب]])</f>
        <v>8</v>
      </c>
      <c r="U80" s="80">
        <v>0</v>
      </c>
      <c r="V80" s="80" t="str" cm="1">
        <f t="array" ref="V80">_xlfn.IFS(OR(table1[[#This Row],[Column4]]=0,table1[[#This Row],[Column4]]="0"),"لا يوجد تاريخ", table1[[#This Row],[Column4]]&gt;0,"تم التسليم قبل الموعد",table1[[#This Row],[Column4]]&lt;0,"تم التسليم بعد الموعد")</f>
        <v>لا يوجد تاريخ</v>
      </c>
      <c r="W80" t="s">
        <v>225</v>
      </c>
      <c r="X80" t="s">
        <v>196</v>
      </c>
      <c r="Y80" s="1" t="str">
        <f>TRIM(table1[[#This Row],[الحالة]])</f>
        <v>تم التسليم</v>
      </c>
    </row>
    <row r="81" spans="1:25" ht="20.100000000000001" customHeight="1" x14ac:dyDescent="0.3">
      <c r="A81" t="s">
        <v>208</v>
      </c>
      <c r="B81" t="str">
        <f>IF(OR(table1[[#This Row],[أسم العميل]]="تاكى",table1[[#This Row],[أسم العميل]]="أوسكار راتن",table1[[#This Row],[أسم العميل]]="شيك هومز"),"شركات","أفراد")</f>
        <v>أفراد</v>
      </c>
      <c r="C81" t="s">
        <v>210</v>
      </c>
      <c r="D81" t="s">
        <v>349</v>
      </c>
      <c r="E81" t="s">
        <v>210</v>
      </c>
      <c r="F81" t="s">
        <v>159</v>
      </c>
      <c r="G81" t="s">
        <v>213</v>
      </c>
      <c r="H81"/>
      <c r="I81"/>
      <c r="J81" t="s">
        <v>334</v>
      </c>
      <c r="K81" t="s">
        <v>334</v>
      </c>
      <c r="L81" t="s">
        <v>214</v>
      </c>
      <c r="M81"/>
      <c r="N81">
        <v>10000</v>
      </c>
      <c r="O81"/>
      <c r="P81" s="68">
        <v>45566</v>
      </c>
      <c r="Q81" s="67">
        <v>45574</v>
      </c>
      <c r="R81" s="67">
        <v>45574</v>
      </c>
      <c r="S81" s="71">
        <f>IF(OR(ISBLANK(table1[[#This Row],[ميعاد الطلب]]),ISBLANK(table1[[#This Row],[ميعاد التسليم]])),0,table1[[#This Row],[ميعاد التسليم]]-table1[[#This Row],[ميعاد الطلب]])</f>
        <v>8</v>
      </c>
      <c r="T81" s="71">
        <f>IF(OR(ISBLANK(table1[[#This Row],[تاريخ التسليم]]),ISBLANK(table1[[#This Row],[ميعاد الطلب]]),ISBLANK(table1[[#This Row],[ميعاد التسليم]])),0,table1[[#This Row],[تاريخ التسليم]]-table1[[#This Row],[ميعاد الطلب]])</f>
        <v>8</v>
      </c>
      <c r="U81" s="80">
        <v>0</v>
      </c>
      <c r="V81" s="80" t="str" cm="1">
        <f t="array" ref="V81">_xlfn.IFS(OR(table1[[#This Row],[Column4]]=0,table1[[#This Row],[Column4]]="0"),"لا يوجد تاريخ", table1[[#This Row],[Column4]]&gt;0,"تم التسليم قبل الموعد",table1[[#This Row],[Column4]]&lt;0,"تم التسليم بعد الموعد")</f>
        <v>لا يوجد تاريخ</v>
      </c>
      <c r="W81" t="s">
        <v>225</v>
      </c>
      <c r="X81" t="s">
        <v>196</v>
      </c>
      <c r="Y81" s="1" t="str">
        <f>TRIM(table1[[#This Row],[الحالة]])</f>
        <v>تم التسليم</v>
      </c>
    </row>
    <row r="82" spans="1:25" ht="20.100000000000001" customHeight="1" x14ac:dyDescent="0.3">
      <c r="A82" t="s">
        <v>208</v>
      </c>
      <c r="B82" t="str">
        <f>IF(OR(table1[[#This Row],[أسم العميل]]="تاكى",table1[[#This Row],[أسم العميل]]="أوسكار راتن",table1[[#This Row],[أسم العميل]]="شيك هومز"),"شركات","أفراد")</f>
        <v>أفراد</v>
      </c>
      <c r="C82" t="s">
        <v>210</v>
      </c>
      <c r="D82" t="s">
        <v>349</v>
      </c>
      <c r="E82" t="s">
        <v>210</v>
      </c>
      <c r="F82" t="s">
        <v>217</v>
      </c>
      <c r="G82"/>
      <c r="H82"/>
      <c r="I82"/>
      <c r="J82" t="s">
        <v>334</v>
      </c>
      <c r="K82" t="s">
        <v>334</v>
      </c>
      <c r="L82" t="s">
        <v>420</v>
      </c>
      <c r="M82"/>
      <c r="N82">
        <v>10000</v>
      </c>
      <c r="O82"/>
      <c r="P82" s="68">
        <v>45566</v>
      </c>
      <c r="Q82" s="67">
        <v>45574</v>
      </c>
      <c r="R82" s="67">
        <v>45574</v>
      </c>
      <c r="S82" s="71">
        <f>IF(OR(ISBLANK(table1[[#This Row],[ميعاد الطلب]]),ISBLANK(table1[[#This Row],[ميعاد التسليم]])),0,table1[[#This Row],[ميعاد التسليم]]-table1[[#This Row],[ميعاد الطلب]])</f>
        <v>8</v>
      </c>
      <c r="T82" s="71">
        <f>IF(OR(ISBLANK(table1[[#This Row],[تاريخ التسليم]]),ISBLANK(table1[[#This Row],[ميعاد الطلب]]),ISBLANK(table1[[#This Row],[ميعاد التسليم]])),0,table1[[#This Row],[تاريخ التسليم]]-table1[[#This Row],[ميعاد الطلب]])</f>
        <v>8</v>
      </c>
      <c r="U82" s="80">
        <v>0</v>
      </c>
      <c r="V82" s="80" t="str" cm="1">
        <f t="array" ref="V82">_xlfn.IFS(OR(table1[[#This Row],[Column4]]=0,table1[[#This Row],[Column4]]="0"),"لا يوجد تاريخ", table1[[#This Row],[Column4]]&gt;0,"تم التسليم قبل الموعد",table1[[#This Row],[Column4]]&lt;0,"تم التسليم بعد الموعد")</f>
        <v>لا يوجد تاريخ</v>
      </c>
      <c r="W82" t="s">
        <v>225</v>
      </c>
      <c r="X82" t="s">
        <v>196</v>
      </c>
      <c r="Y82" s="1" t="str">
        <f>TRIM(table1[[#This Row],[الحالة]])</f>
        <v>تم التسليم</v>
      </c>
    </row>
    <row r="83" spans="1:25" ht="20.100000000000001" customHeight="1" x14ac:dyDescent="0.3">
      <c r="A83" t="s">
        <v>219</v>
      </c>
      <c r="B83" t="str">
        <f>IF(OR(table1[[#This Row],[أسم العميل]]="تاكى",table1[[#This Row],[أسم العميل]]="أوسكار راتن",table1[[#This Row],[أسم العميل]]="شيك هومز"),"شركات","أفراد")</f>
        <v>أفراد</v>
      </c>
      <c r="C83" t="s">
        <v>220</v>
      </c>
      <c r="D83" t="s">
        <v>344</v>
      </c>
      <c r="E83" t="s">
        <v>7</v>
      </c>
      <c r="F83" t="s">
        <v>148</v>
      </c>
      <c r="G83" t="s">
        <v>149</v>
      </c>
      <c r="H83"/>
      <c r="I83"/>
      <c r="J83" t="s">
        <v>334</v>
      </c>
      <c r="K83" t="s">
        <v>334</v>
      </c>
      <c r="L83" t="s">
        <v>334</v>
      </c>
      <c r="M83"/>
      <c r="N83">
        <v>8899</v>
      </c>
      <c r="O83">
        <v>8988</v>
      </c>
      <c r="P83" s="68">
        <v>45568</v>
      </c>
      <c r="Q83" s="67">
        <v>45613</v>
      </c>
      <c r="R83" s="67"/>
      <c r="S83" s="71">
        <f>IF(OR(ISBLANK(table1[[#This Row],[ميعاد الطلب]]),ISBLANK(table1[[#This Row],[ميعاد التسليم]])),0,table1[[#This Row],[ميعاد التسليم]]-table1[[#This Row],[ميعاد الطلب]])</f>
        <v>45</v>
      </c>
      <c r="T83" s="71">
        <f>IF(OR(ISBLANK(table1[[#This Row],[تاريخ التسليم]]),ISBLANK(table1[[#This Row],[ميعاد الطلب]]),ISBLANK(table1[[#This Row],[ميعاد التسليم]])),0,table1[[#This Row],[تاريخ التسليم]]-table1[[#This Row],[ميعاد الطلب]])</f>
        <v>0</v>
      </c>
      <c r="U83" s="80" t="s">
        <v>429</v>
      </c>
      <c r="V83" s="80" t="str" cm="1">
        <f t="array" ref="V83">_xlfn.IFS(OR(table1[[#This Row],[Column4]]=0,table1[[#This Row],[Column4]]="0"),"لا يوجد تاريخ", table1[[#This Row],[Column4]]&gt;0,"تم التسليم قبل الموعد",table1[[#This Row],[Column4]]&lt;0,"تم التسليم بعد الموعد")</f>
        <v>لا يوجد تاريخ</v>
      </c>
      <c r="W83"/>
      <c r="X83"/>
      <c r="Y83" s="1" t="str">
        <f>TRIM(table1[[#This Row],[الحالة]])</f>
        <v/>
      </c>
    </row>
    <row r="84" spans="1:25" ht="20.100000000000001" customHeight="1" x14ac:dyDescent="0.3">
      <c r="A84" t="s">
        <v>51</v>
      </c>
      <c r="B84" t="str">
        <f>IF(OR(table1[[#This Row],[أسم العميل]]="تاكى",table1[[#This Row],[أسم العميل]]="أوسكار راتن",table1[[#This Row],[أسم العميل]]="شيك هومز"),"شركات","أفراد")</f>
        <v>شركات</v>
      </c>
      <c r="C84" t="s">
        <v>222</v>
      </c>
      <c r="D84" t="s">
        <v>359</v>
      </c>
      <c r="E84" t="s">
        <v>51</v>
      </c>
      <c r="F84" t="s">
        <v>159</v>
      </c>
      <c r="G84" t="s">
        <v>204</v>
      </c>
      <c r="H84"/>
      <c r="I84"/>
      <c r="J84" t="s">
        <v>334</v>
      </c>
      <c r="K84" t="s">
        <v>334</v>
      </c>
      <c r="L84" t="s">
        <v>257</v>
      </c>
      <c r="M84"/>
      <c r="N84">
        <v>14550</v>
      </c>
      <c r="O84" t="s">
        <v>15</v>
      </c>
      <c r="P84" s="68">
        <v>45573</v>
      </c>
      <c r="Q84" s="67">
        <v>45594</v>
      </c>
      <c r="R84" s="67">
        <v>45595</v>
      </c>
      <c r="S84" s="71">
        <f>IF(OR(ISBLANK(table1[[#This Row],[ميعاد الطلب]]),ISBLANK(table1[[#This Row],[ميعاد التسليم]])),0,table1[[#This Row],[ميعاد التسليم]]-table1[[#This Row],[ميعاد الطلب]])</f>
        <v>21</v>
      </c>
      <c r="T84" s="71">
        <f>IF(OR(ISBLANK(table1[[#This Row],[تاريخ التسليم]]),ISBLANK(table1[[#This Row],[ميعاد الطلب]]),ISBLANK(table1[[#This Row],[ميعاد التسليم]])),0,table1[[#This Row],[تاريخ التسليم]]-table1[[#This Row],[ميعاد الطلب]])</f>
        <v>22</v>
      </c>
      <c r="U84" s="80">
        <v>-1</v>
      </c>
      <c r="V84" s="80" t="str" cm="1">
        <f t="array" ref="V84">_xlfn.IFS(OR(table1[[#This Row],[Column4]]=0,table1[[#This Row],[Column4]]="0"),"لا يوجد تاريخ", table1[[#This Row],[Column4]]&gt;0,"تم التسليم قبل الموعد",table1[[#This Row],[Column4]]&lt;0,"تم التسليم بعد الموعد")</f>
        <v>تم التسليم بعد الموعد</v>
      </c>
      <c r="W84" t="s">
        <v>197</v>
      </c>
      <c r="X84" t="s">
        <v>196</v>
      </c>
      <c r="Y84" s="1" t="str">
        <f>TRIM(table1[[#This Row],[الحالة]])</f>
        <v>تم التسليم</v>
      </c>
    </row>
    <row r="85" spans="1:25" ht="20.100000000000001" customHeight="1" x14ac:dyDescent="0.3">
      <c r="A85" t="s">
        <v>51</v>
      </c>
      <c r="B85" t="str">
        <f>IF(OR(table1[[#This Row],[أسم العميل]]="تاكى",table1[[#This Row],[أسم العميل]]="أوسكار راتن",table1[[#This Row],[أسم العميل]]="شيك هومز"),"شركات","أفراد")</f>
        <v>شركات</v>
      </c>
      <c r="C85" t="s">
        <v>360</v>
      </c>
      <c r="D85" t="s">
        <v>339</v>
      </c>
      <c r="E85" t="s">
        <v>51</v>
      </c>
      <c r="F85" t="s">
        <v>159</v>
      </c>
      <c r="G85" t="s">
        <v>204</v>
      </c>
      <c r="H85"/>
      <c r="I85"/>
      <c r="J85" t="s">
        <v>334</v>
      </c>
      <c r="K85" t="s">
        <v>334</v>
      </c>
      <c r="L85" t="s">
        <v>257</v>
      </c>
      <c r="M85"/>
      <c r="N85">
        <v>14550</v>
      </c>
      <c r="O85" t="s">
        <v>15</v>
      </c>
      <c r="P85" s="68">
        <v>45572</v>
      </c>
      <c r="Q85" s="67">
        <v>45594</v>
      </c>
      <c r="R85" s="67">
        <v>45580</v>
      </c>
      <c r="S85" s="71">
        <f>IF(OR(ISBLANK(table1[[#This Row],[ميعاد الطلب]]),ISBLANK(table1[[#This Row],[ميعاد التسليم]])),0,table1[[#This Row],[ميعاد التسليم]]-table1[[#This Row],[ميعاد الطلب]])</f>
        <v>22</v>
      </c>
      <c r="T85" s="71">
        <f>IF(OR(ISBLANK(table1[[#This Row],[تاريخ التسليم]]),ISBLANK(table1[[#This Row],[ميعاد الطلب]]),ISBLANK(table1[[#This Row],[ميعاد التسليم]])),0,table1[[#This Row],[تاريخ التسليم]]-table1[[#This Row],[ميعاد الطلب]])</f>
        <v>8</v>
      </c>
      <c r="U85" s="80">
        <v>14</v>
      </c>
      <c r="V85" s="80" t="str" cm="1">
        <f t="array" ref="V85">_xlfn.IFS(OR(table1[[#This Row],[Column4]]=0,table1[[#This Row],[Column4]]="0"),"لا يوجد تاريخ", table1[[#This Row],[Column4]]&gt;0,"تم التسليم قبل الموعد",table1[[#This Row],[Column4]]&lt;0,"تم التسليم بعد الموعد")</f>
        <v>تم التسليم قبل الموعد</v>
      </c>
      <c r="W85" t="s">
        <v>197</v>
      </c>
      <c r="X85" t="s">
        <v>196</v>
      </c>
      <c r="Y85" s="1" t="str">
        <f>TRIM(table1[[#This Row],[الحالة]])</f>
        <v>تم التسليم</v>
      </c>
    </row>
    <row r="86" spans="1:25" ht="20.100000000000001" customHeight="1" x14ac:dyDescent="0.3">
      <c r="A86" t="s">
        <v>51</v>
      </c>
      <c r="B86" t="str">
        <f>IF(OR(table1[[#This Row],[أسم العميل]]="تاكى",table1[[#This Row],[أسم العميل]]="أوسكار راتن",table1[[#This Row],[أسم العميل]]="شيك هومز"),"شركات","أفراد")</f>
        <v>شركات</v>
      </c>
      <c r="C86"/>
      <c r="D86" t="e">
        <v>#N/A</v>
      </c>
      <c r="E86" t="s">
        <v>51</v>
      </c>
      <c r="F86" t="s">
        <v>159</v>
      </c>
      <c r="G86" t="s">
        <v>204</v>
      </c>
      <c r="H86"/>
      <c r="I86"/>
      <c r="J86" t="s">
        <v>334</v>
      </c>
      <c r="K86" t="s">
        <v>334</v>
      </c>
      <c r="L86" t="s">
        <v>420</v>
      </c>
      <c r="M86"/>
      <c r="N86">
        <v>14550</v>
      </c>
      <c r="O86">
        <v>11495</v>
      </c>
      <c r="P86" s="68">
        <v>45575</v>
      </c>
      <c r="Q86" s="67">
        <v>45596</v>
      </c>
      <c r="R86" s="67">
        <v>45598</v>
      </c>
      <c r="S86" s="71">
        <f>IF(OR(ISBLANK(table1[[#This Row],[ميعاد الطلب]]),ISBLANK(table1[[#This Row],[ميعاد التسليم]])),0,table1[[#This Row],[ميعاد التسليم]]-table1[[#This Row],[ميعاد الطلب]])</f>
        <v>21</v>
      </c>
      <c r="T86" s="71">
        <f>IF(OR(ISBLANK(table1[[#This Row],[تاريخ التسليم]]),ISBLANK(table1[[#This Row],[ميعاد الطلب]]),ISBLANK(table1[[#This Row],[ميعاد التسليم]])),0,table1[[#This Row],[تاريخ التسليم]]-table1[[#This Row],[ميعاد الطلب]])</f>
        <v>23</v>
      </c>
      <c r="U86" s="80">
        <v>-2</v>
      </c>
      <c r="V86" s="80" t="str" cm="1">
        <f t="array" ref="V86">_xlfn.IFS(OR(table1[[#This Row],[Column4]]=0,table1[[#This Row],[Column4]]="0"),"لا يوجد تاريخ", table1[[#This Row],[Column4]]&gt;0,"تم التسليم قبل الموعد",table1[[#This Row],[Column4]]&lt;0,"تم التسليم بعد الموعد")</f>
        <v>تم التسليم بعد الموعد</v>
      </c>
      <c r="W86" t="s">
        <v>197</v>
      </c>
      <c r="X86" t="s">
        <v>196</v>
      </c>
      <c r="Y86" s="1" t="str">
        <f>TRIM(table1[[#This Row],[الحالة]])</f>
        <v>تم التسليم</v>
      </c>
    </row>
    <row r="87" spans="1:25" ht="20.100000000000001" customHeight="1" x14ac:dyDescent="0.3">
      <c r="A87" t="s">
        <v>229</v>
      </c>
      <c r="B87" t="str">
        <f>IF(OR(table1[[#This Row],[أسم العميل]]="تاكى",table1[[#This Row],[أسم العميل]]="أوسكار راتن",table1[[#This Row],[أسم العميل]]="شيك هومز"),"شركات","أفراد")</f>
        <v>أفراد</v>
      </c>
      <c r="C87" t="s">
        <v>66</v>
      </c>
      <c r="D87" t="s">
        <v>344</v>
      </c>
      <c r="E87" t="s">
        <v>7</v>
      </c>
      <c r="F87" t="s">
        <v>148</v>
      </c>
      <c r="G87" t="s">
        <v>163</v>
      </c>
      <c r="H87" t="s">
        <v>230</v>
      </c>
      <c r="I87" t="s">
        <v>231</v>
      </c>
      <c r="J87" t="s">
        <v>232</v>
      </c>
      <c r="K87" t="s">
        <v>232</v>
      </c>
      <c r="L87" t="s">
        <v>419</v>
      </c>
      <c r="M87"/>
      <c r="N87">
        <v>12899</v>
      </c>
      <c r="O87">
        <v>13028</v>
      </c>
      <c r="P87" s="68">
        <v>45578</v>
      </c>
      <c r="Q87" s="67">
        <v>45643</v>
      </c>
      <c r="R87" s="67">
        <v>45598</v>
      </c>
      <c r="S87" s="71">
        <f>IF(OR(ISBLANK(table1[[#This Row],[ميعاد الطلب]]),ISBLANK(table1[[#This Row],[ميعاد التسليم]])),0,table1[[#This Row],[ميعاد التسليم]]-table1[[#This Row],[ميعاد الطلب]])</f>
        <v>65</v>
      </c>
      <c r="T87" s="71">
        <f>IF(OR(ISBLANK(table1[[#This Row],[تاريخ التسليم]]),ISBLANK(table1[[#This Row],[ميعاد الطلب]]),ISBLANK(table1[[#This Row],[ميعاد التسليم]])),0,table1[[#This Row],[تاريخ التسليم]]-table1[[#This Row],[ميعاد الطلب]])</f>
        <v>20</v>
      </c>
      <c r="U87" s="80">
        <v>45</v>
      </c>
      <c r="V87" s="80" t="str" cm="1">
        <f t="array" ref="V87">_xlfn.IFS(OR(table1[[#This Row],[Column4]]=0,table1[[#This Row],[Column4]]="0"),"لا يوجد تاريخ", table1[[#This Row],[Column4]]&gt;0,"تم التسليم قبل الموعد",table1[[#This Row],[Column4]]&lt;0,"تم التسليم بعد الموعد")</f>
        <v>تم التسليم قبل الموعد</v>
      </c>
      <c r="W87" t="s">
        <v>197</v>
      </c>
      <c r="X87" t="s">
        <v>196</v>
      </c>
      <c r="Y87" s="1" t="str">
        <f>TRIM(table1[[#This Row],[الحالة]])</f>
        <v>تم التسليم</v>
      </c>
    </row>
    <row r="88" spans="1:25" ht="20.100000000000001" customHeight="1" x14ac:dyDescent="0.3">
      <c r="A88" t="s">
        <v>233</v>
      </c>
      <c r="B88" t="str">
        <f>IF(OR(table1[[#This Row],[أسم العميل]]="تاكى",table1[[#This Row],[أسم العميل]]="أوسكار راتن",table1[[#This Row],[أسم العميل]]="شيك هومز"),"شركات","أفراد")</f>
        <v>أفراد</v>
      </c>
      <c r="C88" t="s">
        <v>48</v>
      </c>
      <c r="D88" t="s">
        <v>344</v>
      </c>
      <c r="E88" t="s">
        <v>7</v>
      </c>
      <c r="F88" t="s">
        <v>148</v>
      </c>
      <c r="G88" t="s">
        <v>163</v>
      </c>
      <c r="H88" t="s">
        <v>153</v>
      </c>
      <c r="I88">
        <v>80</v>
      </c>
      <c r="J88" t="s">
        <v>333</v>
      </c>
      <c r="K88" t="s">
        <v>333</v>
      </c>
      <c r="L88" t="s">
        <v>419</v>
      </c>
      <c r="M88"/>
      <c r="N88">
        <v>10499</v>
      </c>
      <c r="O88" t="s">
        <v>15</v>
      </c>
      <c r="P88" s="68">
        <v>45581</v>
      </c>
      <c r="Q88" s="67">
        <v>45645</v>
      </c>
      <c r="R88" s="67">
        <v>45586</v>
      </c>
      <c r="S88" s="71">
        <f>IF(OR(ISBLANK(table1[[#This Row],[ميعاد الطلب]]),ISBLANK(table1[[#This Row],[ميعاد التسليم]])),0,table1[[#This Row],[ميعاد التسليم]]-table1[[#This Row],[ميعاد الطلب]])</f>
        <v>64</v>
      </c>
      <c r="T88" s="71">
        <f>IF(OR(ISBLANK(table1[[#This Row],[تاريخ التسليم]]),ISBLANK(table1[[#This Row],[ميعاد الطلب]]),ISBLANK(table1[[#This Row],[ميعاد التسليم]])),0,table1[[#This Row],[تاريخ التسليم]]-table1[[#This Row],[ميعاد الطلب]])</f>
        <v>5</v>
      </c>
      <c r="U88" s="80">
        <v>59</v>
      </c>
      <c r="V88" s="80" t="str" cm="1">
        <f t="array" ref="V88">_xlfn.IFS(OR(table1[[#This Row],[Column4]]=0,table1[[#This Row],[Column4]]="0"),"لا يوجد تاريخ", table1[[#This Row],[Column4]]&gt;0,"تم التسليم قبل الموعد",table1[[#This Row],[Column4]]&lt;0,"تم التسليم بعد الموعد")</f>
        <v>تم التسليم قبل الموعد</v>
      </c>
      <c r="W88" t="s">
        <v>197</v>
      </c>
      <c r="X88" t="s">
        <v>196</v>
      </c>
      <c r="Y88" s="1" t="str">
        <f>TRIM(table1[[#This Row],[الحالة]])</f>
        <v>تم التسليم</v>
      </c>
    </row>
    <row r="89" spans="1:25" ht="20.100000000000001" customHeight="1" x14ac:dyDescent="0.3">
      <c r="A89" t="s">
        <v>235</v>
      </c>
      <c r="B89" t="str">
        <f>IF(OR(table1[[#This Row],[أسم العميل]]="تاكى",table1[[#This Row],[أسم العميل]]="أوسكار راتن",table1[[#This Row],[أسم العميل]]="شيك هومز"),"شركات","أفراد")</f>
        <v>أفراد</v>
      </c>
      <c r="C89" t="s">
        <v>236</v>
      </c>
      <c r="D89" t="s">
        <v>340</v>
      </c>
      <c r="E89" t="s">
        <v>7</v>
      </c>
      <c r="F89" t="s">
        <v>148</v>
      </c>
      <c r="G89" t="s">
        <v>163</v>
      </c>
      <c r="H89" t="s">
        <v>150</v>
      </c>
      <c r="I89" t="s">
        <v>237</v>
      </c>
      <c r="J89" t="s">
        <v>232</v>
      </c>
      <c r="K89" t="s">
        <v>232</v>
      </c>
      <c r="L89" t="s">
        <v>419</v>
      </c>
      <c r="M89"/>
      <c r="N89">
        <v>12899</v>
      </c>
      <c r="O89" t="s">
        <v>15</v>
      </c>
      <c r="P89" s="68">
        <v>45582</v>
      </c>
      <c r="Q89" s="67">
        <v>45648</v>
      </c>
      <c r="R89" s="67">
        <v>45629</v>
      </c>
      <c r="S89" s="71">
        <f>IF(OR(ISBLANK(table1[[#This Row],[ميعاد الطلب]]),ISBLANK(table1[[#This Row],[ميعاد التسليم]])),0,table1[[#This Row],[ميعاد التسليم]]-table1[[#This Row],[ميعاد الطلب]])</f>
        <v>66</v>
      </c>
      <c r="T89" s="71">
        <f>IF(OR(ISBLANK(table1[[#This Row],[تاريخ التسليم]]),ISBLANK(table1[[#This Row],[ميعاد الطلب]]),ISBLANK(table1[[#This Row],[ميعاد التسليم]])),0,table1[[#This Row],[تاريخ التسليم]]-table1[[#This Row],[ميعاد الطلب]])</f>
        <v>47</v>
      </c>
      <c r="U89" s="80">
        <v>19</v>
      </c>
      <c r="V89" s="80" t="str" cm="1">
        <f t="array" ref="V89">_xlfn.IFS(OR(table1[[#This Row],[Column4]]=0,table1[[#This Row],[Column4]]="0"),"لا يوجد تاريخ", table1[[#This Row],[Column4]]&gt;0,"تم التسليم قبل الموعد",table1[[#This Row],[Column4]]&lt;0,"تم التسليم بعد الموعد")</f>
        <v>تم التسليم قبل الموعد</v>
      </c>
      <c r="W89" t="s">
        <v>27</v>
      </c>
      <c r="X89" t="s">
        <v>226</v>
      </c>
      <c r="Y89" s="1" t="str">
        <f>TRIM(table1[[#This Row],[الحالة]])</f>
        <v>تم التسليم</v>
      </c>
    </row>
    <row r="90" spans="1:25" ht="20.100000000000001" customHeight="1" x14ac:dyDescent="0.3">
      <c r="A90" t="s">
        <v>238</v>
      </c>
      <c r="B90" t="str">
        <f>IF(OR(table1[[#This Row],[أسم العميل]]="تاكى",table1[[#This Row],[أسم العميل]]="أوسكار راتن",table1[[#This Row],[أسم العميل]]="شيك هومز"),"شركات","أفراد")</f>
        <v>أفراد</v>
      </c>
      <c r="C90" t="s">
        <v>240</v>
      </c>
      <c r="D90" t="s">
        <v>344</v>
      </c>
      <c r="E90" t="s">
        <v>261</v>
      </c>
      <c r="F90" t="s">
        <v>148</v>
      </c>
      <c r="G90" t="s">
        <v>151</v>
      </c>
      <c r="H90" t="s">
        <v>242</v>
      </c>
      <c r="I90">
        <v>140</v>
      </c>
      <c r="J90" t="s">
        <v>420</v>
      </c>
      <c r="K90" t="s">
        <v>420</v>
      </c>
      <c r="L90" t="s">
        <v>243</v>
      </c>
      <c r="M90"/>
      <c r="N90">
        <v>5135</v>
      </c>
      <c r="O90" t="s">
        <v>15</v>
      </c>
      <c r="P90" s="68">
        <v>45585</v>
      </c>
      <c r="Q90" s="67">
        <v>45613</v>
      </c>
      <c r="R90" s="67">
        <v>45610</v>
      </c>
      <c r="S90" s="71">
        <f>IF(OR(ISBLANK(table1[[#This Row],[ميعاد الطلب]]),ISBLANK(table1[[#This Row],[ميعاد التسليم]])),0,table1[[#This Row],[ميعاد التسليم]]-table1[[#This Row],[ميعاد الطلب]])</f>
        <v>28</v>
      </c>
      <c r="T90" s="71">
        <f>IF(OR(ISBLANK(table1[[#This Row],[تاريخ التسليم]]),ISBLANK(table1[[#This Row],[ميعاد الطلب]]),ISBLANK(table1[[#This Row],[ميعاد التسليم]])),0,table1[[#This Row],[تاريخ التسليم]]-table1[[#This Row],[ميعاد الطلب]])</f>
        <v>25</v>
      </c>
      <c r="U90" s="80">
        <v>3</v>
      </c>
      <c r="V90" s="80" t="str" cm="1">
        <f t="array" ref="V90">_xlfn.IFS(OR(table1[[#This Row],[Column4]]=0,table1[[#This Row],[Column4]]="0"),"لا يوجد تاريخ", table1[[#This Row],[Column4]]&gt;0,"تم التسليم قبل الموعد",table1[[#This Row],[Column4]]&lt;0,"تم التسليم بعد الموعد")</f>
        <v>تم التسليم قبل الموعد</v>
      </c>
      <c r="W90" t="s">
        <v>197</v>
      </c>
      <c r="X90" t="s">
        <v>196</v>
      </c>
      <c r="Y90" s="1" t="str">
        <f>TRIM(table1[[#This Row],[الحالة]])</f>
        <v>تم التسليم</v>
      </c>
    </row>
    <row r="91" spans="1:25" ht="20.100000000000001" customHeight="1" x14ac:dyDescent="0.3">
      <c r="A91" t="s">
        <v>51</v>
      </c>
      <c r="B91" t="str">
        <f>IF(OR(table1[[#This Row],[أسم العميل]]="تاكى",table1[[#This Row],[أسم العميل]]="أوسكار راتن",table1[[#This Row],[أسم العميل]]="شيك هومز"),"شركات","أفراد")</f>
        <v>شركات</v>
      </c>
      <c r="C91" t="s">
        <v>202</v>
      </c>
      <c r="D91" t="s">
        <v>339</v>
      </c>
      <c r="E91" t="s">
        <v>51</v>
      </c>
      <c r="F91" t="s">
        <v>148</v>
      </c>
      <c r="G91" t="s">
        <v>163</v>
      </c>
      <c r="H91" t="s">
        <v>244</v>
      </c>
      <c r="I91">
        <v>100</v>
      </c>
      <c r="J91" t="s">
        <v>245</v>
      </c>
      <c r="K91" t="s">
        <v>245</v>
      </c>
      <c r="L91" t="s">
        <v>419</v>
      </c>
      <c r="M91"/>
      <c r="N91">
        <v>12777.5</v>
      </c>
      <c r="O91">
        <v>11277.5</v>
      </c>
      <c r="P91" s="68">
        <v>45587</v>
      </c>
      <c r="Q91" s="67">
        <v>45608</v>
      </c>
      <c r="R91" s="67">
        <v>45614</v>
      </c>
      <c r="S91" s="71">
        <f>IF(OR(ISBLANK(table1[[#This Row],[ميعاد الطلب]]),ISBLANK(table1[[#This Row],[ميعاد التسليم]])),0,table1[[#This Row],[ميعاد التسليم]]-table1[[#This Row],[ميعاد الطلب]])</f>
        <v>21</v>
      </c>
      <c r="T91" s="71">
        <f>IF(OR(ISBLANK(table1[[#This Row],[تاريخ التسليم]]),ISBLANK(table1[[#This Row],[ميعاد الطلب]]),ISBLANK(table1[[#This Row],[ميعاد التسليم]])),0,table1[[#This Row],[تاريخ التسليم]]-table1[[#This Row],[ميعاد الطلب]])</f>
        <v>27</v>
      </c>
      <c r="U91" s="80">
        <v>-6</v>
      </c>
      <c r="V91" s="80" t="str" cm="1">
        <f t="array" ref="V91">_xlfn.IFS(OR(table1[[#This Row],[Column4]]=0,table1[[#This Row],[Column4]]="0"),"لا يوجد تاريخ", table1[[#This Row],[Column4]]&gt;0,"تم التسليم قبل الموعد",table1[[#This Row],[Column4]]&lt;0,"تم التسليم بعد الموعد")</f>
        <v>تم التسليم بعد الموعد</v>
      </c>
      <c r="W91" t="s">
        <v>197</v>
      </c>
      <c r="X91" t="s">
        <v>196</v>
      </c>
      <c r="Y91" s="1" t="str">
        <f>TRIM(table1[[#This Row],[الحالة]])</f>
        <v>تم التسليم</v>
      </c>
    </row>
    <row r="92" spans="1:25" ht="20.100000000000001" customHeight="1" x14ac:dyDescent="0.3">
      <c r="A92" t="s">
        <v>51</v>
      </c>
      <c r="B92" t="str">
        <f>IF(OR(table1[[#This Row],[أسم العميل]]="تاكى",table1[[#This Row],[أسم العميل]]="أوسكار راتن",table1[[#This Row],[أسم العميل]]="شيك هومز"),"شركات","أفراد")</f>
        <v>شركات</v>
      </c>
      <c r="C92" t="s">
        <v>202</v>
      </c>
      <c r="D92" t="s">
        <v>339</v>
      </c>
      <c r="E92" t="s">
        <v>51</v>
      </c>
      <c r="F92" t="s">
        <v>148</v>
      </c>
      <c r="G92" t="s">
        <v>163</v>
      </c>
      <c r="H92" t="s">
        <v>244</v>
      </c>
      <c r="I92">
        <v>100</v>
      </c>
      <c r="J92" t="s">
        <v>245</v>
      </c>
      <c r="K92" t="s">
        <v>245</v>
      </c>
      <c r="L92" t="s">
        <v>419</v>
      </c>
      <c r="M92"/>
      <c r="N92">
        <v>12777.5</v>
      </c>
      <c r="O92">
        <v>11277.5</v>
      </c>
      <c r="P92" s="68">
        <v>45587</v>
      </c>
      <c r="Q92" s="67">
        <v>45608</v>
      </c>
      <c r="R92" s="67">
        <v>45614</v>
      </c>
      <c r="S92" s="71">
        <f>IF(OR(ISBLANK(table1[[#This Row],[ميعاد الطلب]]),ISBLANK(table1[[#This Row],[ميعاد التسليم]])),0,table1[[#This Row],[ميعاد التسليم]]-table1[[#This Row],[ميعاد الطلب]])</f>
        <v>21</v>
      </c>
      <c r="T92" s="71">
        <f>IF(OR(ISBLANK(table1[[#This Row],[تاريخ التسليم]]),ISBLANK(table1[[#This Row],[ميعاد الطلب]]),ISBLANK(table1[[#This Row],[ميعاد التسليم]])),0,table1[[#This Row],[تاريخ التسليم]]-table1[[#This Row],[ميعاد الطلب]])</f>
        <v>27</v>
      </c>
      <c r="U92" s="80">
        <v>-6</v>
      </c>
      <c r="V92" s="80" t="str" cm="1">
        <f t="array" ref="V92">_xlfn.IFS(OR(table1[[#This Row],[Column4]]=0,table1[[#This Row],[Column4]]="0"),"لا يوجد تاريخ", table1[[#This Row],[Column4]]&gt;0,"تم التسليم قبل الموعد",table1[[#This Row],[Column4]]&lt;0,"تم التسليم بعد الموعد")</f>
        <v>تم التسليم بعد الموعد</v>
      </c>
      <c r="W92" t="s">
        <v>197</v>
      </c>
      <c r="X92" t="s">
        <v>196</v>
      </c>
      <c r="Y92" s="1" t="str">
        <f>TRIM(table1[[#This Row],[الحالة]])</f>
        <v>تم التسليم</v>
      </c>
    </row>
    <row r="93" spans="1:25" ht="20.100000000000001" customHeight="1" x14ac:dyDescent="0.3">
      <c r="A93" t="s">
        <v>81</v>
      </c>
      <c r="B93" t="str">
        <f>IF(OR(table1[[#This Row],[أسم العميل]]="تاكى",table1[[#This Row],[أسم العميل]]="أوسكار راتن",table1[[#This Row],[أسم العميل]]="شيك هومز"),"شركات","أفراد")</f>
        <v>شركات</v>
      </c>
      <c r="C93" t="s">
        <v>246</v>
      </c>
      <c r="D93" t="s">
        <v>344</v>
      </c>
      <c r="E93" t="s">
        <v>414</v>
      </c>
      <c r="F93" t="s">
        <v>148</v>
      </c>
      <c r="G93" t="s">
        <v>163</v>
      </c>
      <c r="H93" t="s">
        <v>244</v>
      </c>
      <c r="I93">
        <v>100</v>
      </c>
      <c r="J93" t="s">
        <v>245</v>
      </c>
      <c r="K93" t="s">
        <v>245</v>
      </c>
      <c r="L93" t="s">
        <v>419</v>
      </c>
      <c r="M93"/>
      <c r="N93">
        <v>8544.91</v>
      </c>
      <c r="O93" t="s">
        <v>83</v>
      </c>
      <c r="P93" s="68">
        <v>45587</v>
      </c>
      <c r="Q93" s="67"/>
      <c r="R93" s="67"/>
      <c r="S93" s="71">
        <f>IF(OR(ISBLANK(table1[[#This Row],[ميعاد الطلب]]),ISBLANK(table1[[#This Row],[ميعاد التسليم]])),0,table1[[#This Row],[ميعاد التسليم]]-table1[[#This Row],[ميعاد الطلب]])</f>
        <v>0</v>
      </c>
      <c r="T93" s="71">
        <f>IF(OR(ISBLANK(table1[[#This Row],[تاريخ التسليم]]),ISBLANK(table1[[#This Row],[ميعاد الطلب]]),ISBLANK(table1[[#This Row],[ميعاد التسليم]])),0,table1[[#This Row],[تاريخ التسليم]]-table1[[#This Row],[ميعاد الطلب]])</f>
        <v>0</v>
      </c>
      <c r="U93" s="80" t="s">
        <v>429</v>
      </c>
      <c r="V93" s="80" t="str" cm="1">
        <f t="array" ref="V93">_xlfn.IFS(OR(table1[[#This Row],[Column4]]=0,table1[[#This Row],[Column4]]="0"),"لا يوجد تاريخ", table1[[#This Row],[Column4]]&gt;0,"تم التسليم قبل الموعد",table1[[#This Row],[Column4]]&lt;0,"تم التسليم بعد الموعد")</f>
        <v>لا يوجد تاريخ</v>
      </c>
      <c r="W93"/>
      <c r="X93" t="s">
        <v>272</v>
      </c>
      <c r="Y93" s="1" t="str">
        <f>TRIM(table1[[#This Row],[الحالة]])</f>
        <v>مرفوض</v>
      </c>
    </row>
    <row r="94" spans="1:25" ht="20.100000000000001" customHeight="1" x14ac:dyDescent="0.3">
      <c r="A94" t="s">
        <v>248</v>
      </c>
      <c r="B94" t="str">
        <f>IF(OR(table1[[#This Row],[أسم العميل]]="تاكى",table1[[#This Row],[أسم العميل]]="أوسكار راتن",table1[[#This Row],[أسم العميل]]="شيك هومز"),"شركات","أفراد")</f>
        <v>أفراد</v>
      </c>
      <c r="C94" t="s">
        <v>249</v>
      </c>
      <c r="D94" t="s">
        <v>339</v>
      </c>
      <c r="E94" t="s">
        <v>7</v>
      </c>
      <c r="F94" t="s">
        <v>148</v>
      </c>
      <c r="G94" t="s">
        <v>151</v>
      </c>
      <c r="H94" t="s">
        <v>175</v>
      </c>
      <c r="I94">
        <v>120</v>
      </c>
      <c r="J94" t="s">
        <v>333</v>
      </c>
      <c r="K94" t="s">
        <v>333</v>
      </c>
      <c r="L94" t="s">
        <v>419</v>
      </c>
      <c r="M94"/>
      <c r="N94">
        <v>8943</v>
      </c>
      <c r="O94">
        <v>9007.01</v>
      </c>
      <c r="P94" s="68">
        <v>45586</v>
      </c>
      <c r="Q94" s="67">
        <v>45610</v>
      </c>
      <c r="R94" s="67">
        <v>45614</v>
      </c>
      <c r="S94" s="71">
        <f>IF(OR(ISBLANK(table1[[#This Row],[ميعاد الطلب]]),ISBLANK(table1[[#This Row],[ميعاد التسليم]])),0,table1[[#This Row],[ميعاد التسليم]]-table1[[#This Row],[ميعاد الطلب]])</f>
        <v>24</v>
      </c>
      <c r="T94" s="71">
        <f>IF(OR(ISBLANK(table1[[#This Row],[تاريخ التسليم]]),ISBLANK(table1[[#This Row],[ميعاد الطلب]]),ISBLANK(table1[[#This Row],[ميعاد التسليم]])),0,table1[[#This Row],[تاريخ التسليم]]-table1[[#This Row],[ميعاد الطلب]])</f>
        <v>28</v>
      </c>
      <c r="U94" s="80">
        <v>-4</v>
      </c>
      <c r="V94" s="80" t="str" cm="1">
        <f t="array" ref="V94">_xlfn.IFS(OR(table1[[#This Row],[Column4]]=0,table1[[#This Row],[Column4]]="0"),"لا يوجد تاريخ", table1[[#This Row],[Column4]]&gt;0,"تم التسليم قبل الموعد",table1[[#This Row],[Column4]]&lt;0,"تم التسليم بعد الموعد")</f>
        <v>تم التسليم بعد الموعد</v>
      </c>
      <c r="W94" t="s">
        <v>197</v>
      </c>
      <c r="X94" t="s">
        <v>196</v>
      </c>
      <c r="Y94" s="1" t="str">
        <f>TRIM(table1[[#This Row],[الحالة]])</f>
        <v>تم التسليم</v>
      </c>
    </row>
    <row r="95" spans="1:25" ht="20.100000000000001" customHeight="1" x14ac:dyDescent="0.3">
      <c r="A95" t="s">
        <v>51</v>
      </c>
      <c r="B95" t="str">
        <f>IF(OR(table1[[#This Row],[أسم العميل]]="تاكى",table1[[#This Row],[أسم العميل]]="أوسكار راتن",table1[[#This Row],[أسم العميل]]="شيك هومز"),"شركات","أفراد")</f>
        <v>شركات</v>
      </c>
      <c r="C95"/>
      <c r="D95" t="e">
        <v>#N/A</v>
      </c>
      <c r="E95" t="s">
        <v>51</v>
      </c>
      <c r="F95" t="s">
        <v>159</v>
      </c>
      <c r="G95" t="s">
        <v>204</v>
      </c>
      <c r="H95"/>
      <c r="I95"/>
      <c r="J95" t="s">
        <v>334</v>
      </c>
      <c r="K95" t="s">
        <v>334</v>
      </c>
      <c r="L95" t="s">
        <v>419</v>
      </c>
      <c r="M95"/>
      <c r="N95">
        <v>15516</v>
      </c>
      <c r="O95" t="s">
        <v>15</v>
      </c>
      <c r="P95" s="68">
        <v>45589</v>
      </c>
      <c r="Q95" s="67">
        <v>45610</v>
      </c>
      <c r="R95" s="67">
        <v>45595</v>
      </c>
      <c r="S95" s="71">
        <f>IF(OR(ISBLANK(table1[[#This Row],[ميعاد الطلب]]),ISBLANK(table1[[#This Row],[ميعاد التسليم]])),0,table1[[#This Row],[ميعاد التسليم]]-table1[[#This Row],[ميعاد الطلب]])</f>
        <v>21</v>
      </c>
      <c r="T95" s="71">
        <f>IF(OR(ISBLANK(table1[[#This Row],[تاريخ التسليم]]),ISBLANK(table1[[#This Row],[ميعاد الطلب]]),ISBLANK(table1[[#This Row],[ميعاد التسليم]])),0,table1[[#This Row],[تاريخ التسليم]]-table1[[#This Row],[ميعاد الطلب]])</f>
        <v>6</v>
      </c>
      <c r="U95" s="80">
        <v>15</v>
      </c>
      <c r="V95" s="80" t="str" cm="1">
        <f t="array" ref="V95">_xlfn.IFS(OR(table1[[#This Row],[Column4]]=0,table1[[#This Row],[Column4]]="0"),"لا يوجد تاريخ", table1[[#This Row],[Column4]]&gt;0,"تم التسليم قبل الموعد",table1[[#This Row],[Column4]]&lt;0,"تم التسليم بعد الموعد")</f>
        <v>تم التسليم قبل الموعد</v>
      </c>
      <c r="W95" t="s">
        <v>197</v>
      </c>
      <c r="X95" t="s">
        <v>196</v>
      </c>
      <c r="Y95" s="1" t="str">
        <f>TRIM(table1[[#This Row],[الحالة]])</f>
        <v>تم التسليم</v>
      </c>
    </row>
    <row r="96" spans="1:25" ht="20.100000000000001" customHeight="1" x14ac:dyDescent="0.3">
      <c r="A96" t="s">
        <v>51</v>
      </c>
      <c r="B96" t="str">
        <f>IF(OR(table1[[#This Row],[أسم العميل]]="تاكى",table1[[#This Row],[أسم العميل]]="أوسكار راتن",table1[[#This Row],[أسم العميل]]="شيك هومز"),"شركات","أفراد")</f>
        <v>شركات</v>
      </c>
      <c r="C96"/>
      <c r="D96" t="e">
        <v>#N/A</v>
      </c>
      <c r="E96" t="s">
        <v>51</v>
      </c>
      <c r="F96" t="s">
        <v>148</v>
      </c>
      <c r="G96" t="s">
        <v>163</v>
      </c>
      <c r="H96" t="s">
        <v>152</v>
      </c>
      <c r="I96">
        <v>100</v>
      </c>
      <c r="J96" t="s">
        <v>334</v>
      </c>
      <c r="K96" t="s">
        <v>334</v>
      </c>
      <c r="L96" t="s">
        <v>419</v>
      </c>
      <c r="M96"/>
      <c r="N96">
        <v>10045</v>
      </c>
      <c r="O96">
        <v>8879</v>
      </c>
      <c r="P96" s="68">
        <v>45591</v>
      </c>
      <c r="Q96" s="67">
        <v>45612</v>
      </c>
      <c r="R96" s="67"/>
      <c r="S96" s="71">
        <f>IF(OR(ISBLANK(table1[[#This Row],[ميعاد الطلب]]),ISBLANK(table1[[#This Row],[ميعاد التسليم]])),0,table1[[#This Row],[ميعاد التسليم]]-table1[[#This Row],[ميعاد الطلب]])</f>
        <v>21</v>
      </c>
      <c r="T96" s="71">
        <f>IF(OR(ISBLANK(table1[[#This Row],[تاريخ التسليم]]),ISBLANK(table1[[#This Row],[ميعاد الطلب]]),ISBLANK(table1[[#This Row],[ميعاد التسليم]])),0,table1[[#This Row],[تاريخ التسليم]]-table1[[#This Row],[ميعاد الطلب]])</f>
        <v>0</v>
      </c>
      <c r="U96" s="80" t="s">
        <v>429</v>
      </c>
      <c r="V96" s="80" t="str" cm="1">
        <f t="array" ref="V96">_xlfn.IFS(OR(table1[[#This Row],[Column4]]=0,table1[[#This Row],[Column4]]="0"),"لا يوجد تاريخ", table1[[#This Row],[Column4]]&gt;0,"تم التسليم قبل الموعد",table1[[#This Row],[Column4]]&lt;0,"تم التسليم بعد الموعد")</f>
        <v>لا يوجد تاريخ</v>
      </c>
      <c r="W96"/>
      <c r="X96" t="s">
        <v>234</v>
      </c>
      <c r="Y96" s="1" t="str">
        <f>TRIM(table1[[#This Row],[الحالة]])</f>
        <v>لاغى</v>
      </c>
    </row>
    <row r="97" spans="1:25" ht="20.100000000000001" customHeight="1" x14ac:dyDescent="0.3">
      <c r="A97" t="s">
        <v>129</v>
      </c>
      <c r="B97" t="str">
        <f>IF(OR(table1[[#This Row],[أسم العميل]]="تاكى",table1[[#This Row],[أسم العميل]]="أوسكار راتن",table1[[#This Row],[أسم العميل]]="شيك هومز"),"شركات","أفراد")</f>
        <v>أفراد</v>
      </c>
      <c r="C97" t="s">
        <v>250</v>
      </c>
      <c r="D97" t="s">
        <v>339</v>
      </c>
      <c r="E97" t="s">
        <v>7</v>
      </c>
      <c r="F97" t="s">
        <v>148</v>
      </c>
      <c r="G97" t="s">
        <v>163</v>
      </c>
      <c r="H97" t="s">
        <v>152</v>
      </c>
      <c r="I97">
        <v>90</v>
      </c>
      <c r="J97" t="s">
        <v>334</v>
      </c>
      <c r="K97" t="s">
        <v>334</v>
      </c>
      <c r="L97" t="s">
        <v>419</v>
      </c>
      <c r="M97"/>
      <c r="N97">
        <v>11649</v>
      </c>
      <c r="O97">
        <v>11749</v>
      </c>
      <c r="P97" s="68">
        <v>45591</v>
      </c>
      <c r="Q97" s="67">
        <v>45606</v>
      </c>
      <c r="R97" s="67">
        <v>45614</v>
      </c>
      <c r="S97" s="71">
        <f>IF(OR(ISBLANK(table1[[#This Row],[ميعاد الطلب]]),ISBLANK(table1[[#This Row],[ميعاد التسليم]])),0,table1[[#This Row],[ميعاد التسليم]]-table1[[#This Row],[ميعاد الطلب]])</f>
        <v>15</v>
      </c>
      <c r="T97" s="71">
        <f>IF(OR(ISBLANK(table1[[#This Row],[تاريخ التسليم]]),ISBLANK(table1[[#This Row],[ميعاد الطلب]]),ISBLANK(table1[[#This Row],[ميعاد التسليم]])),0,table1[[#This Row],[تاريخ التسليم]]-table1[[#This Row],[ميعاد الطلب]])</f>
        <v>23</v>
      </c>
      <c r="U97" s="80">
        <v>-8</v>
      </c>
      <c r="V97" s="80" t="str" cm="1">
        <f t="array" ref="V97">_xlfn.IFS(OR(table1[[#This Row],[Column4]]=0,table1[[#This Row],[Column4]]="0"),"لا يوجد تاريخ", table1[[#This Row],[Column4]]&gt;0,"تم التسليم قبل الموعد",table1[[#This Row],[Column4]]&lt;0,"تم التسليم بعد الموعد")</f>
        <v>تم التسليم بعد الموعد</v>
      </c>
      <c r="W97" t="s">
        <v>197</v>
      </c>
      <c r="X97" t="s">
        <v>196</v>
      </c>
      <c r="Y97" s="1" t="str">
        <f>TRIM(table1[[#This Row],[الحالة]])</f>
        <v>تم التسليم</v>
      </c>
    </row>
    <row r="98" spans="1:25" ht="20.100000000000001" customHeight="1" x14ac:dyDescent="0.3">
      <c r="A98" t="s">
        <v>129</v>
      </c>
      <c r="B98" t="str">
        <f>IF(OR(table1[[#This Row],[أسم العميل]]="تاكى",table1[[#This Row],[أسم العميل]]="أوسكار راتن",table1[[#This Row],[أسم العميل]]="شيك هومز"),"شركات","أفراد")</f>
        <v>أفراد</v>
      </c>
      <c r="C98" t="s">
        <v>250</v>
      </c>
      <c r="D98" t="s">
        <v>339</v>
      </c>
      <c r="E98" t="s">
        <v>7</v>
      </c>
      <c r="F98" t="s">
        <v>148</v>
      </c>
      <c r="G98" t="s">
        <v>163</v>
      </c>
      <c r="H98" t="s">
        <v>152</v>
      </c>
      <c r="I98">
        <v>90</v>
      </c>
      <c r="J98" t="s">
        <v>334</v>
      </c>
      <c r="K98" t="s">
        <v>334</v>
      </c>
      <c r="L98" t="s">
        <v>419</v>
      </c>
      <c r="M98"/>
      <c r="N98">
        <v>11649</v>
      </c>
      <c r="O98">
        <v>11749</v>
      </c>
      <c r="P98" s="68">
        <v>45591</v>
      </c>
      <c r="Q98" s="67">
        <v>45606</v>
      </c>
      <c r="R98" s="67">
        <v>45614</v>
      </c>
      <c r="S98" s="71">
        <f>IF(OR(ISBLANK(table1[[#This Row],[ميعاد الطلب]]),ISBLANK(table1[[#This Row],[ميعاد التسليم]])),0,table1[[#This Row],[ميعاد التسليم]]-table1[[#This Row],[ميعاد الطلب]])</f>
        <v>15</v>
      </c>
      <c r="T98" s="71">
        <f>IF(OR(ISBLANK(table1[[#This Row],[تاريخ التسليم]]),ISBLANK(table1[[#This Row],[ميعاد الطلب]]),ISBLANK(table1[[#This Row],[ميعاد التسليم]])),0,table1[[#This Row],[تاريخ التسليم]]-table1[[#This Row],[ميعاد الطلب]])</f>
        <v>23</v>
      </c>
      <c r="U98" s="80">
        <v>-8</v>
      </c>
      <c r="V98" s="80" t="str" cm="1">
        <f t="array" ref="V98">_xlfn.IFS(OR(table1[[#This Row],[Column4]]=0,table1[[#This Row],[Column4]]="0"),"لا يوجد تاريخ", table1[[#This Row],[Column4]]&gt;0,"تم التسليم قبل الموعد",table1[[#This Row],[Column4]]&lt;0,"تم التسليم بعد الموعد")</f>
        <v>تم التسليم بعد الموعد</v>
      </c>
      <c r="W98" t="s">
        <v>197</v>
      </c>
      <c r="X98" t="s">
        <v>196</v>
      </c>
      <c r="Y98" s="1" t="str">
        <f>TRIM(table1[[#This Row],[الحالة]])</f>
        <v>تم التسليم</v>
      </c>
    </row>
    <row r="99" spans="1:25" ht="20.100000000000001" customHeight="1" x14ac:dyDescent="0.3">
      <c r="A99" t="s">
        <v>251</v>
      </c>
      <c r="B99" t="str">
        <f>IF(OR(table1[[#This Row],[أسم العميل]]="تاكى",table1[[#This Row],[أسم العميل]]="أوسكار راتن",table1[[#This Row],[أسم العميل]]="شيك هومز"),"شركات","أفراد")</f>
        <v>أفراد</v>
      </c>
      <c r="C99" t="s">
        <v>105</v>
      </c>
      <c r="D99" t="s">
        <v>344</v>
      </c>
      <c r="E99" t="s">
        <v>7</v>
      </c>
      <c r="F99" t="s">
        <v>148</v>
      </c>
      <c r="G99" t="s">
        <v>151</v>
      </c>
      <c r="H99" t="s">
        <v>154</v>
      </c>
      <c r="I99">
        <v>100</v>
      </c>
      <c r="J99" t="s">
        <v>333</v>
      </c>
      <c r="K99" t="s">
        <v>333</v>
      </c>
      <c r="L99" t="s">
        <v>419</v>
      </c>
      <c r="M99"/>
      <c r="N99">
        <v>5100</v>
      </c>
      <c r="O99">
        <v>4800</v>
      </c>
      <c r="P99" s="68">
        <v>45593</v>
      </c>
      <c r="Q99" s="67">
        <v>45607</v>
      </c>
      <c r="R99" s="67">
        <v>45617</v>
      </c>
      <c r="S99" s="71">
        <f>IF(OR(ISBLANK(table1[[#This Row],[ميعاد الطلب]]),ISBLANK(table1[[#This Row],[ميعاد التسليم]])),0,table1[[#This Row],[ميعاد التسليم]]-table1[[#This Row],[ميعاد الطلب]])</f>
        <v>14</v>
      </c>
      <c r="T99" s="71">
        <f>IF(OR(ISBLANK(table1[[#This Row],[تاريخ التسليم]]),ISBLANK(table1[[#This Row],[ميعاد الطلب]]),ISBLANK(table1[[#This Row],[ميعاد التسليم]])),0,table1[[#This Row],[تاريخ التسليم]]-table1[[#This Row],[ميعاد الطلب]])</f>
        <v>24</v>
      </c>
      <c r="U99" s="80">
        <v>-10</v>
      </c>
      <c r="V99" s="80" t="str" cm="1">
        <f t="array" ref="V99">_xlfn.IFS(OR(table1[[#This Row],[Column4]]=0,table1[[#This Row],[Column4]]="0"),"لا يوجد تاريخ", table1[[#This Row],[Column4]]&gt;0,"تم التسليم قبل الموعد",table1[[#This Row],[Column4]]&lt;0,"تم التسليم بعد الموعد")</f>
        <v>تم التسليم بعد الموعد</v>
      </c>
      <c r="W99" t="s">
        <v>197</v>
      </c>
      <c r="X99" t="s">
        <v>196</v>
      </c>
      <c r="Y99" s="1" t="str">
        <f>TRIM(table1[[#This Row],[الحالة]])</f>
        <v>تم التسليم</v>
      </c>
    </row>
    <row r="100" spans="1:25" ht="20.100000000000001" customHeight="1" x14ac:dyDescent="0.3">
      <c r="A100" t="s">
        <v>251</v>
      </c>
      <c r="B100" t="str">
        <f>IF(OR(table1[[#This Row],[أسم العميل]]="تاكى",table1[[#This Row],[أسم العميل]]="أوسكار راتن",table1[[#This Row],[أسم العميل]]="شيك هومز"),"شركات","أفراد")</f>
        <v>أفراد</v>
      </c>
      <c r="C100" t="s">
        <v>105</v>
      </c>
      <c r="D100" t="s">
        <v>344</v>
      </c>
      <c r="E100" t="s">
        <v>7</v>
      </c>
      <c r="F100" t="s">
        <v>148</v>
      </c>
      <c r="G100" t="s">
        <v>151</v>
      </c>
      <c r="H100" t="s">
        <v>154</v>
      </c>
      <c r="I100">
        <v>120</v>
      </c>
      <c r="J100" t="s">
        <v>333</v>
      </c>
      <c r="K100" t="s">
        <v>333</v>
      </c>
      <c r="L100" t="s">
        <v>419</v>
      </c>
      <c r="M100"/>
      <c r="N100">
        <v>5300</v>
      </c>
      <c r="O100">
        <v>4800</v>
      </c>
      <c r="P100" s="68">
        <v>45593</v>
      </c>
      <c r="Q100" s="67">
        <v>45607</v>
      </c>
      <c r="R100" s="67">
        <v>45617</v>
      </c>
      <c r="S100" s="71">
        <f>IF(OR(ISBLANK(table1[[#This Row],[ميعاد الطلب]]),ISBLANK(table1[[#This Row],[ميعاد التسليم]])),0,table1[[#This Row],[ميعاد التسليم]]-table1[[#This Row],[ميعاد الطلب]])</f>
        <v>14</v>
      </c>
      <c r="T100" s="71">
        <f>IF(OR(ISBLANK(table1[[#This Row],[تاريخ التسليم]]),ISBLANK(table1[[#This Row],[ميعاد الطلب]]),ISBLANK(table1[[#This Row],[ميعاد التسليم]])),0,table1[[#This Row],[تاريخ التسليم]]-table1[[#This Row],[ميعاد الطلب]])</f>
        <v>24</v>
      </c>
      <c r="U100" s="80">
        <v>-10</v>
      </c>
      <c r="V100" s="80" t="str" cm="1">
        <f t="array" ref="V100">_xlfn.IFS(OR(table1[[#This Row],[Column4]]=0,table1[[#This Row],[Column4]]="0"),"لا يوجد تاريخ", table1[[#This Row],[Column4]]&gt;0,"تم التسليم قبل الموعد",table1[[#This Row],[Column4]]&lt;0,"تم التسليم بعد الموعد")</f>
        <v>تم التسليم بعد الموعد</v>
      </c>
      <c r="W100" t="s">
        <v>197</v>
      </c>
      <c r="X100" t="s">
        <v>196</v>
      </c>
      <c r="Y100" s="1" t="str">
        <f>TRIM(table1[[#This Row],[الحالة]])</f>
        <v>تم التسليم</v>
      </c>
    </row>
    <row r="101" spans="1:25" ht="20.100000000000001" customHeight="1" x14ac:dyDescent="0.3">
      <c r="A101" t="s">
        <v>407</v>
      </c>
      <c r="B101" t="str">
        <f>IF(OR(table1[[#This Row],[أسم العميل]]="تاكى",table1[[#This Row],[أسم العميل]]="أوسكار راتن",table1[[#This Row],[أسم العميل]]="شيك هومز"),"شركات","أفراد")</f>
        <v>أفراد</v>
      </c>
      <c r="C101" t="s">
        <v>262</v>
      </c>
      <c r="D101" t="s">
        <v>344</v>
      </c>
      <c r="E101" t="s">
        <v>7</v>
      </c>
      <c r="F101" t="s">
        <v>148</v>
      </c>
      <c r="G101" t="s">
        <v>163</v>
      </c>
      <c r="H101" t="s">
        <v>153</v>
      </c>
      <c r="I101">
        <v>80</v>
      </c>
      <c r="J101" t="s">
        <v>333</v>
      </c>
      <c r="K101" t="s">
        <v>333</v>
      </c>
      <c r="L101" t="s">
        <v>419</v>
      </c>
      <c r="M101"/>
      <c r="N101">
        <v>12099</v>
      </c>
      <c r="O101" t="s">
        <v>15</v>
      </c>
      <c r="P101" s="68">
        <v>45607</v>
      </c>
      <c r="Q101" s="67">
        <v>45622</v>
      </c>
      <c r="R101" s="67">
        <v>45623</v>
      </c>
      <c r="S101" s="71">
        <f>IF(OR(ISBLANK(table1[[#This Row],[ميعاد الطلب]]),ISBLANK(table1[[#This Row],[ميعاد التسليم]])),0,table1[[#This Row],[ميعاد التسليم]]-table1[[#This Row],[ميعاد الطلب]])</f>
        <v>15</v>
      </c>
      <c r="T101" s="71">
        <f>IF(OR(ISBLANK(table1[[#This Row],[تاريخ التسليم]]),ISBLANK(table1[[#This Row],[ميعاد الطلب]]),ISBLANK(table1[[#This Row],[ميعاد التسليم]])),0,table1[[#This Row],[تاريخ التسليم]]-table1[[#This Row],[ميعاد الطلب]])</f>
        <v>16</v>
      </c>
      <c r="U101" s="80">
        <v>-1</v>
      </c>
      <c r="V101" s="80" t="str" cm="1">
        <f t="array" ref="V101">_xlfn.IFS(OR(table1[[#This Row],[Column4]]=0,table1[[#This Row],[Column4]]="0"),"لا يوجد تاريخ", table1[[#This Row],[Column4]]&gt;0,"تم التسليم قبل الموعد",table1[[#This Row],[Column4]]&lt;0,"تم التسليم بعد الموعد")</f>
        <v>تم التسليم بعد الموعد</v>
      </c>
      <c r="W101" t="s">
        <v>197</v>
      </c>
      <c r="X101" t="s">
        <v>196</v>
      </c>
      <c r="Y101" s="1" t="str">
        <f>TRIM(table1[[#This Row],[الحالة]])</f>
        <v>تم التسليم</v>
      </c>
    </row>
    <row r="102" spans="1:25" ht="20.100000000000001" customHeight="1" x14ac:dyDescent="0.3">
      <c r="A102" t="s">
        <v>51</v>
      </c>
      <c r="B102" t="str">
        <f>IF(OR(table1[[#This Row],[أسم العميل]]="تاكى",table1[[#This Row],[أسم العميل]]="أوسكار راتن",table1[[#This Row],[أسم العميل]]="شيك هومز"),"شركات","أفراد")</f>
        <v>شركات</v>
      </c>
      <c r="C102" t="s">
        <v>222</v>
      </c>
      <c r="D102" t="s">
        <v>359</v>
      </c>
      <c r="E102" t="s">
        <v>51</v>
      </c>
      <c r="F102" t="s">
        <v>159</v>
      </c>
      <c r="G102" t="s">
        <v>204</v>
      </c>
      <c r="H102" t="s">
        <v>256</v>
      </c>
      <c r="I102"/>
      <c r="J102" t="s">
        <v>334</v>
      </c>
      <c r="K102" t="s">
        <v>334</v>
      </c>
      <c r="L102" t="s">
        <v>257</v>
      </c>
      <c r="M102"/>
      <c r="N102">
        <v>15872</v>
      </c>
      <c r="O102" t="s">
        <v>15</v>
      </c>
      <c r="P102" s="68">
        <v>45604</v>
      </c>
      <c r="Q102" s="67">
        <v>45629</v>
      </c>
      <c r="R102" s="67">
        <v>45610</v>
      </c>
      <c r="S102" s="71">
        <f>IF(OR(ISBLANK(table1[[#This Row],[ميعاد الطلب]]),ISBLANK(table1[[#This Row],[ميعاد التسليم]])),0,table1[[#This Row],[ميعاد التسليم]]-table1[[#This Row],[ميعاد الطلب]])</f>
        <v>25</v>
      </c>
      <c r="T102" s="71">
        <f>IF(OR(ISBLANK(table1[[#This Row],[تاريخ التسليم]]),ISBLANK(table1[[#This Row],[ميعاد الطلب]]),ISBLANK(table1[[#This Row],[ميعاد التسليم]])),0,table1[[#This Row],[تاريخ التسليم]]-table1[[#This Row],[ميعاد الطلب]])</f>
        <v>6</v>
      </c>
      <c r="U102" s="80">
        <v>19</v>
      </c>
      <c r="V102" s="80" t="str" cm="1">
        <f t="array" ref="V102">_xlfn.IFS(OR(table1[[#This Row],[Column4]]=0,table1[[#This Row],[Column4]]="0"),"لا يوجد تاريخ", table1[[#This Row],[Column4]]&gt;0,"تم التسليم قبل الموعد",table1[[#This Row],[Column4]]&lt;0,"تم التسليم بعد الموعد")</f>
        <v>تم التسليم قبل الموعد</v>
      </c>
      <c r="W102" t="s">
        <v>197</v>
      </c>
      <c r="X102" t="s">
        <v>196</v>
      </c>
      <c r="Y102" s="1" t="str">
        <f>TRIM(table1[[#This Row],[الحالة]])</f>
        <v>تم التسليم</v>
      </c>
    </row>
    <row r="103" spans="1:25" ht="20.100000000000001" customHeight="1" x14ac:dyDescent="0.3">
      <c r="A103" t="s">
        <v>261</v>
      </c>
      <c r="B103" t="str">
        <f>IF(OR(table1[[#This Row],[أسم العميل]]="تاكى",table1[[#This Row],[أسم العميل]]="أوسكار راتن",table1[[#This Row],[أسم العميل]]="شيك هومز"),"شركات","أفراد")</f>
        <v>أفراد</v>
      </c>
      <c r="C103" t="s">
        <v>33</v>
      </c>
      <c r="D103" t="s">
        <v>344</v>
      </c>
      <c r="E103" t="s">
        <v>261</v>
      </c>
      <c r="F103" t="s">
        <v>148</v>
      </c>
      <c r="G103" t="s">
        <v>151</v>
      </c>
      <c r="H103" t="s">
        <v>175</v>
      </c>
      <c r="I103">
        <v>120</v>
      </c>
      <c r="J103" t="s">
        <v>333</v>
      </c>
      <c r="K103" t="s">
        <v>333</v>
      </c>
      <c r="L103" t="s">
        <v>419</v>
      </c>
      <c r="M103"/>
      <c r="N103">
        <v>4520</v>
      </c>
      <c r="O103" t="s">
        <v>83</v>
      </c>
      <c r="P103" s="68">
        <v>45606</v>
      </c>
      <c r="Q103" s="67">
        <v>45618</v>
      </c>
      <c r="R103" s="67">
        <v>45617</v>
      </c>
      <c r="S103" s="71">
        <f>IF(OR(ISBLANK(table1[[#This Row],[ميعاد الطلب]]),ISBLANK(table1[[#This Row],[ميعاد التسليم]])),0,table1[[#This Row],[ميعاد التسليم]]-table1[[#This Row],[ميعاد الطلب]])</f>
        <v>12</v>
      </c>
      <c r="T103" s="71">
        <f>IF(OR(ISBLANK(table1[[#This Row],[تاريخ التسليم]]),ISBLANK(table1[[#This Row],[ميعاد الطلب]]),ISBLANK(table1[[#This Row],[ميعاد التسليم]])),0,table1[[#This Row],[تاريخ التسليم]]-table1[[#This Row],[ميعاد الطلب]])</f>
        <v>11</v>
      </c>
      <c r="U103" s="80">
        <v>1</v>
      </c>
      <c r="V103" s="80" t="str" cm="1">
        <f t="array" ref="V103">_xlfn.IFS(OR(table1[[#This Row],[Column4]]=0,table1[[#This Row],[Column4]]="0"),"لا يوجد تاريخ", table1[[#This Row],[Column4]]&gt;0,"تم التسليم قبل الموعد",table1[[#This Row],[Column4]]&lt;0,"تم التسليم بعد الموعد")</f>
        <v>تم التسليم قبل الموعد</v>
      </c>
      <c r="W103" t="s">
        <v>197</v>
      </c>
      <c r="X103" t="s">
        <v>196</v>
      </c>
      <c r="Y103" s="1" t="str">
        <f>TRIM(table1[[#This Row],[الحالة]])</f>
        <v>تم التسليم</v>
      </c>
    </row>
    <row r="104" spans="1:25" ht="20.100000000000001" customHeight="1" x14ac:dyDescent="0.3">
      <c r="A104" t="s">
        <v>81</v>
      </c>
      <c r="B104" t="str">
        <f>IF(OR(table1[[#This Row],[أسم العميل]]="تاكى",table1[[#This Row],[أسم العميل]]="أوسكار راتن",table1[[#This Row],[أسم العميل]]="شيك هومز"),"شركات","أفراد")</f>
        <v>شركات</v>
      </c>
      <c r="C104" t="s">
        <v>358</v>
      </c>
      <c r="D104" t="s">
        <v>348</v>
      </c>
      <c r="E104" t="s">
        <v>414</v>
      </c>
      <c r="F104" t="s">
        <v>148</v>
      </c>
      <c r="G104" t="s">
        <v>163</v>
      </c>
      <c r="H104" t="s">
        <v>152</v>
      </c>
      <c r="I104">
        <v>90</v>
      </c>
      <c r="J104" t="s">
        <v>334</v>
      </c>
      <c r="K104" t="s">
        <v>334</v>
      </c>
      <c r="L104" t="s">
        <v>419</v>
      </c>
      <c r="M104"/>
      <c r="N104">
        <v>5766</v>
      </c>
      <c r="O104" t="s">
        <v>83</v>
      </c>
      <c r="P104" s="68">
        <v>45608</v>
      </c>
      <c r="Q104" s="67">
        <v>45622</v>
      </c>
      <c r="R104" s="67">
        <v>45621</v>
      </c>
      <c r="S104" s="71">
        <f>IF(OR(ISBLANK(table1[[#This Row],[ميعاد الطلب]]),ISBLANK(table1[[#This Row],[ميعاد التسليم]])),0,table1[[#This Row],[ميعاد التسليم]]-table1[[#This Row],[ميعاد الطلب]])</f>
        <v>14</v>
      </c>
      <c r="T104" s="71">
        <f>IF(OR(ISBLANK(table1[[#This Row],[تاريخ التسليم]]),ISBLANK(table1[[#This Row],[ميعاد الطلب]]),ISBLANK(table1[[#This Row],[ميعاد التسليم]])),0,table1[[#This Row],[تاريخ التسليم]]-table1[[#This Row],[ميعاد الطلب]])</f>
        <v>13</v>
      </c>
      <c r="U104" s="80">
        <v>1</v>
      </c>
      <c r="V104" s="80" t="str" cm="1">
        <f t="array" ref="V104">_xlfn.IFS(OR(table1[[#This Row],[Column4]]=0,table1[[#This Row],[Column4]]="0"),"لا يوجد تاريخ", table1[[#This Row],[Column4]]&gt;0,"تم التسليم قبل الموعد",table1[[#This Row],[Column4]]&lt;0,"تم التسليم بعد الموعد")</f>
        <v>تم التسليم قبل الموعد</v>
      </c>
      <c r="W104" t="s">
        <v>197</v>
      </c>
      <c r="X104" t="s">
        <v>196</v>
      </c>
      <c r="Y104" s="1" t="str">
        <f>TRIM(table1[[#This Row],[الحالة]])</f>
        <v>تم التسليم</v>
      </c>
    </row>
    <row r="105" spans="1:25" ht="20.100000000000001" customHeight="1" x14ac:dyDescent="0.3">
      <c r="A105" t="s">
        <v>264</v>
      </c>
      <c r="B105" t="str">
        <f>IF(OR(table1[[#This Row],[أسم العميل]]="تاكى",table1[[#This Row],[أسم العميل]]="أوسكار راتن",table1[[#This Row],[أسم العميل]]="شيك هومز"),"شركات","أفراد")</f>
        <v>أفراد</v>
      </c>
      <c r="C105" t="s">
        <v>105</v>
      </c>
      <c r="D105" t="s">
        <v>344</v>
      </c>
      <c r="E105" t="s">
        <v>7</v>
      </c>
      <c r="F105" t="s">
        <v>148</v>
      </c>
      <c r="G105" t="s">
        <v>151</v>
      </c>
      <c r="H105" t="s">
        <v>175</v>
      </c>
      <c r="I105">
        <v>160</v>
      </c>
      <c r="J105" t="s">
        <v>171</v>
      </c>
      <c r="K105" t="s">
        <v>171</v>
      </c>
      <c r="L105" t="s">
        <v>419</v>
      </c>
      <c r="M105"/>
      <c r="N105">
        <v>11395</v>
      </c>
      <c r="O105" t="s">
        <v>15</v>
      </c>
      <c r="P105" s="68">
        <v>45608</v>
      </c>
      <c r="Q105" s="67">
        <v>45620</v>
      </c>
      <c r="R105" s="67">
        <v>45623</v>
      </c>
      <c r="S105" s="71">
        <f>IF(OR(ISBLANK(table1[[#This Row],[ميعاد الطلب]]),ISBLANK(table1[[#This Row],[ميعاد التسليم]])),0,table1[[#This Row],[ميعاد التسليم]]-table1[[#This Row],[ميعاد الطلب]])</f>
        <v>12</v>
      </c>
      <c r="T105" s="71">
        <f>IF(OR(ISBLANK(table1[[#This Row],[تاريخ التسليم]]),ISBLANK(table1[[#This Row],[ميعاد الطلب]]),ISBLANK(table1[[#This Row],[ميعاد التسليم]])),0,table1[[#This Row],[تاريخ التسليم]]-table1[[#This Row],[ميعاد الطلب]])</f>
        <v>15</v>
      </c>
      <c r="U105" s="80">
        <v>-3</v>
      </c>
      <c r="V105" s="80" t="str" cm="1">
        <f t="array" ref="V105">_xlfn.IFS(OR(table1[[#This Row],[Column4]]=0,table1[[#This Row],[Column4]]="0"),"لا يوجد تاريخ", table1[[#This Row],[Column4]]&gt;0,"تم التسليم قبل الموعد",table1[[#This Row],[Column4]]&lt;0,"تم التسليم بعد الموعد")</f>
        <v>تم التسليم بعد الموعد</v>
      </c>
      <c r="W105" t="s">
        <v>197</v>
      </c>
      <c r="X105" t="s">
        <v>196</v>
      </c>
      <c r="Y105" s="1" t="str">
        <f>TRIM(table1[[#This Row],[الحالة]])</f>
        <v>تم التسليم</v>
      </c>
    </row>
    <row r="106" spans="1:25" ht="20.100000000000001" customHeight="1" x14ac:dyDescent="0.3">
      <c r="A106" t="s">
        <v>265</v>
      </c>
      <c r="B106" t="str">
        <f>IF(OR(table1[[#This Row],[أسم العميل]]="تاكى",table1[[#This Row],[أسم العميل]]="أوسكار راتن",table1[[#This Row],[أسم العميل]]="شيك هومز"),"شركات","أفراد")</f>
        <v>أفراد</v>
      </c>
      <c r="C106" t="s">
        <v>33</v>
      </c>
      <c r="D106" t="s">
        <v>344</v>
      </c>
      <c r="E106" t="s">
        <v>7</v>
      </c>
      <c r="F106" t="s">
        <v>148</v>
      </c>
      <c r="G106" t="s">
        <v>163</v>
      </c>
      <c r="H106" t="s">
        <v>266</v>
      </c>
      <c r="I106">
        <v>80</v>
      </c>
      <c r="J106" t="s">
        <v>333</v>
      </c>
      <c r="K106" t="s">
        <v>333</v>
      </c>
      <c r="L106" t="s">
        <v>419</v>
      </c>
      <c r="M106"/>
      <c r="N106">
        <v>12919</v>
      </c>
      <c r="O106" t="s">
        <v>15</v>
      </c>
      <c r="P106" s="68">
        <v>45610</v>
      </c>
      <c r="Q106" s="67">
        <v>45626</v>
      </c>
      <c r="R106" s="67">
        <v>45623</v>
      </c>
      <c r="S106" s="71">
        <f>IF(OR(ISBLANK(table1[[#This Row],[ميعاد الطلب]]),ISBLANK(table1[[#This Row],[ميعاد التسليم]])),0,table1[[#This Row],[ميعاد التسليم]]-table1[[#This Row],[ميعاد الطلب]])</f>
        <v>16</v>
      </c>
      <c r="T106" s="71">
        <f>IF(OR(ISBLANK(table1[[#This Row],[تاريخ التسليم]]),ISBLANK(table1[[#This Row],[ميعاد الطلب]]),ISBLANK(table1[[#This Row],[ميعاد التسليم]])),0,table1[[#This Row],[تاريخ التسليم]]-table1[[#This Row],[ميعاد الطلب]])</f>
        <v>13</v>
      </c>
      <c r="U106" s="80">
        <v>3</v>
      </c>
      <c r="V106" s="80" t="str" cm="1">
        <f t="array" ref="V106">_xlfn.IFS(OR(table1[[#This Row],[Column4]]=0,table1[[#This Row],[Column4]]="0"),"لا يوجد تاريخ", table1[[#This Row],[Column4]]&gt;0,"تم التسليم قبل الموعد",table1[[#This Row],[Column4]]&lt;0,"تم التسليم بعد الموعد")</f>
        <v>تم التسليم قبل الموعد</v>
      </c>
      <c r="W106" t="s">
        <v>197</v>
      </c>
      <c r="X106" t="s">
        <v>196</v>
      </c>
      <c r="Y106" s="1" t="str">
        <f>TRIM(table1[[#This Row],[الحالة]])</f>
        <v>تم التسليم</v>
      </c>
    </row>
    <row r="107" spans="1:25" ht="20.100000000000001" customHeight="1" x14ac:dyDescent="0.3">
      <c r="A107" t="s">
        <v>81</v>
      </c>
      <c r="B107" t="str">
        <f>IF(OR(table1[[#This Row],[أسم العميل]]="تاكى",table1[[#This Row],[أسم العميل]]="أوسكار راتن",table1[[#This Row],[أسم العميل]]="شيك هومز"),"شركات","أفراد")</f>
        <v>شركات</v>
      </c>
      <c r="C107" t="s">
        <v>358</v>
      </c>
      <c r="D107" t="s">
        <v>348</v>
      </c>
      <c r="E107" t="s">
        <v>414</v>
      </c>
      <c r="F107" t="s">
        <v>148</v>
      </c>
      <c r="G107" t="s">
        <v>163</v>
      </c>
      <c r="H107" t="s">
        <v>150</v>
      </c>
      <c r="I107">
        <v>120</v>
      </c>
      <c r="J107" t="s">
        <v>170</v>
      </c>
      <c r="K107" t="s">
        <v>170</v>
      </c>
      <c r="L107" t="s">
        <v>419</v>
      </c>
      <c r="M107"/>
      <c r="N107">
        <v>6376</v>
      </c>
      <c r="O107" t="s">
        <v>83</v>
      </c>
      <c r="P107" s="68">
        <v>45610</v>
      </c>
      <c r="Q107" s="67">
        <v>45623</v>
      </c>
      <c r="R107" s="67">
        <v>45621</v>
      </c>
      <c r="S107" s="71">
        <f>IF(OR(ISBLANK(table1[[#This Row],[ميعاد الطلب]]),ISBLANK(table1[[#This Row],[ميعاد التسليم]])),0,table1[[#This Row],[ميعاد التسليم]]-table1[[#This Row],[ميعاد الطلب]])</f>
        <v>13</v>
      </c>
      <c r="T107" s="71">
        <f>IF(OR(ISBLANK(table1[[#This Row],[تاريخ التسليم]]),ISBLANK(table1[[#This Row],[ميعاد الطلب]]),ISBLANK(table1[[#This Row],[ميعاد التسليم]])),0,table1[[#This Row],[تاريخ التسليم]]-table1[[#This Row],[ميعاد الطلب]])</f>
        <v>11</v>
      </c>
      <c r="U107" s="80">
        <v>2</v>
      </c>
      <c r="V107" s="80" t="str" cm="1">
        <f t="array" ref="V107">_xlfn.IFS(OR(table1[[#This Row],[Column4]]=0,table1[[#This Row],[Column4]]="0"),"لا يوجد تاريخ", table1[[#This Row],[Column4]]&gt;0,"تم التسليم قبل الموعد",table1[[#This Row],[Column4]]&lt;0,"تم التسليم بعد الموعد")</f>
        <v>تم التسليم قبل الموعد</v>
      </c>
      <c r="W107" t="s">
        <v>197</v>
      </c>
      <c r="X107" t="s">
        <v>196</v>
      </c>
      <c r="Y107" s="1" t="str">
        <f>TRIM(table1[[#This Row],[الحالة]])</f>
        <v>تم التسليم</v>
      </c>
    </row>
    <row r="108" spans="1:25" ht="20.100000000000001" customHeight="1" x14ac:dyDescent="0.3">
      <c r="A108" t="s">
        <v>81</v>
      </c>
      <c r="B108" t="str">
        <f>IF(OR(table1[[#This Row],[أسم العميل]]="تاكى",table1[[#This Row],[أسم العميل]]="أوسكار راتن",table1[[#This Row],[أسم العميل]]="شيك هومز"),"شركات","أفراد")</f>
        <v>شركات</v>
      </c>
      <c r="C108" t="s">
        <v>270</v>
      </c>
      <c r="D108" t="s">
        <v>359</v>
      </c>
      <c r="E108" t="s">
        <v>414</v>
      </c>
      <c r="F108" t="s">
        <v>148</v>
      </c>
      <c r="G108" t="s">
        <v>271</v>
      </c>
      <c r="H108" t="s">
        <v>150</v>
      </c>
      <c r="I108">
        <v>90</v>
      </c>
      <c r="J108" t="s">
        <v>334</v>
      </c>
      <c r="K108" t="s">
        <v>334</v>
      </c>
      <c r="L108" t="s">
        <v>419</v>
      </c>
      <c r="M108"/>
      <c r="N108">
        <v>5294</v>
      </c>
      <c r="O108" t="s">
        <v>83</v>
      </c>
      <c r="P108" s="68">
        <v>45610</v>
      </c>
      <c r="Q108" s="67">
        <v>45623</v>
      </c>
      <c r="R108" s="67">
        <v>45621</v>
      </c>
      <c r="S108" s="71">
        <f>IF(OR(ISBLANK(table1[[#This Row],[ميعاد الطلب]]),ISBLANK(table1[[#This Row],[ميعاد التسليم]])),0,table1[[#This Row],[ميعاد التسليم]]-table1[[#This Row],[ميعاد الطلب]])</f>
        <v>13</v>
      </c>
      <c r="T108" s="71">
        <f>IF(OR(ISBLANK(table1[[#This Row],[تاريخ التسليم]]),ISBLANK(table1[[#This Row],[ميعاد الطلب]]),ISBLANK(table1[[#This Row],[ميعاد التسليم]])),0,table1[[#This Row],[تاريخ التسليم]]-table1[[#This Row],[ميعاد الطلب]])</f>
        <v>11</v>
      </c>
      <c r="U108" s="80">
        <v>2</v>
      </c>
      <c r="V108" s="80" t="str" cm="1">
        <f t="array" ref="V108">_xlfn.IFS(OR(table1[[#This Row],[Column4]]=0,table1[[#This Row],[Column4]]="0"),"لا يوجد تاريخ", table1[[#This Row],[Column4]]&gt;0,"تم التسليم قبل الموعد",table1[[#This Row],[Column4]]&lt;0,"تم التسليم بعد الموعد")</f>
        <v>تم التسليم قبل الموعد</v>
      </c>
      <c r="W108" t="s">
        <v>197</v>
      </c>
      <c r="X108" t="s">
        <v>196</v>
      </c>
      <c r="Y108" s="1" t="str">
        <f>TRIM(table1[[#This Row],[الحالة]])</f>
        <v>تم التسليم</v>
      </c>
    </row>
    <row r="109" spans="1:25" ht="20.100000000000001" customHeight="1" x14ac:dyDescent="0.3">
      <c r="A109" t="s">
        <v>408</v>
      </c>
      <c r="B109" t="str">
        <f>IF(OR(table1[[#This Row],[أسم العميل]]="تاكى",table1[[#This Row],[أسم العميل]]="أوسكار راتن",table1[[#This Row],[أسم العميل]]="شيك هومز"),"شركات","أفراد")</f>
        <v>أفراد</v>
      </c>
      <c r="C109" t="s">
        <v>276</v>
      </c>
      <c r="D109" t="s">
        <v>339</v>
      </c>
      <c r="E109" t="s">
        <v>415</v>
      </c>
      <c r="F109" t="s">
        <v>148</v>
      </c>
      <c r="G109" t="s">
        <v>271</v>
      </c>
      <c r="H109" t="s">
        <v>275</v>
      </c>
      <c r="I109">
        <v>80</v>
      </c>
      <c r="J109" t="s">
        <v>333</v>
      </c>
      <c r="K109" t="s">
        <v>333</v>
      </c>
      <c r="L109" t="s">
        <v>419</v>
      </c>
      <c r="M109"/>
      <c r="N109">
        <v>7396</v>
      </c>
      <c r="O109" t="s">
        <v>15</v>
      </c>
      <c r="P109" s="68">
        <v>45613</v>
      </c>
      <c r="Q109" s="67">
        <v>45624</v>
      </c>
      <c r="R109" s="67">
        <v>45622</v>
      </c>
      <c r="S109" s="71">
        <f>IF(OR(ISBLANK(table1[[#This Row],[ميعاد الطلب]]),ISBLANK(table1[[#This Row],[ميعاد التسليم]])),0,table1[[#This Row],[ميعاد التسليم]]-table1[[#This Row],[ميعاد الطلب]])</f>
        <v>11</v>
      </c>
      <c r="T109" s="71">
        <f>IF(OR(ISBLANK(table1[[#This Row],[تاريخ التسليم]]),ISBLANK(table1[[#This Row],[ميعاد الطلب]]),ISBLANK(table1[[#This Row],[ميعاد التسليم]])),0,table1[[#This Row],[تاريخ التسليم]]-table1[[#This Row],[ميعاد الطلب]])</f>
        <v>9</v>
      </c>
      <c r="U109" s="80">
        <v>2</v>
      </c>
      <c r="V109" s="80" t="str" cm="1">
        <f t="array" ref="V109">_xlfn.IFS(OR(table1[[#This Row],[Column4]]=0,table1[[#This Row],[Column4]]="0"),"لا يوجد تاريخ", table1[[#This Row],[Column4]]&gt;0,"تم التسليم قبل الموعد",table1[[#This Row],[Column4]]&lt;0,"تم التسليم بعد الموعد")</f>
        <v>تم التسليم قبل الموعد</v>
      </c>
      <c r="W109" t="s">
        <v>197</v>
      </c>
      <c r="X109" t="s">
        <v>196</v>
      </c>
      <c r="Y109" s="1" t="str">
        <f>TRIM(table1[[#This Row],[الحالة]])</f>
        <v>تم التسليم</v>
      </c>
    </row>
    <row r="110" spans="1:25" ht="20.100000000000001" customHeight="1" x14ac:dyDescent="0.3">
      <c r="A110" t="s">
        <v>129</v>
      </c>
      <c r="B110" t="str">
        <f>IF(OR(table1[[#This Row],[أسم العميل]]="تاكى",table1[[#This Row],[أسم العميل]]="أوسكار راتن",table1[[#This Row],[أسم العميل]]="شيك هومز"),"شركات","أفراد")</f>
        <v>أفراد</v>
      </c>
      <c r="C110" t="s">
        <v>276</v>
      </c>
      <c r="D110" t="s">
        <v>339</v>
      </c>
      <c r="E110" t="s">
        <v>7</v>
      </c>
      <c r="F110" t="s">
        <v>148</v>
      </c>
      <c r="G110" t="s">
        <v>163</v>
      </c>
      <c r="H110" t="s">
        <v>152</v>
      </c>
      <c r="I110">
        <v>90</v>
      </c>
      <c r="J110" t="s">
        <v>334</v>
      </c>
      <c r="K110" t="s">
        <v>334</v>
      </c>
      <c r="L110" t="s">
        <v>419</v>
      </c>
      <c r="M110"/>
      <c r="N110">
        <v>13439</v>
      </c>
      <c r="O110">
        <v>13575</v>
      </c>
      <c r="P110" s="68">
        <v>45616</v>
      </c>
      <c r="Q110" s="67">
        <v>45631</v>
      </c>
      <c r="R110" s="67">
        <v>45622</v>
      </c>
      <c r="S110" s="71">
        <f>IF(OR(ISBLANK(table1[[#This Row],[ميعاد الطلب]]),ISBLANK(table1[[#This Row],[ميعاد التسليم]])),0,table1[[#This Row],[ميعاد التسليم]]-table1[[#This Row],[ميعاد الطلب]])</f>
        <v>15</v>
      </c>
      <c r="T110" s="71">
        <f>IF(OR(ISBLANK(table1[[#This Row],[تاريخ التسليم]]),ISBLANK(table1[[#This Row],[ميعاد الطلب]]),ISBLANK(table1[[#This Row],[ميعاد التسليم]])),0,table1[[#This Row],[تاريخ التسليم]]-table1[[#This Row],[ميعاد الطلب]])</f>
        <v>6</v>
      </c>
      <c r="U110" s="80">
        <v>9</v>
      </c>
      <c r="V110" s="80" t="str" cm="1">
        <f t="array" ref="V110">_xlfn.IFS(OR(table1[[#This Row],[Column4]]=0,table1[[#This Row],[Column4]]="0"),"لا يوجد تاريخ", table1[[#This Row],[Column4]]&gt;0,"تم التسليم قبل الموعد",table1[[#This Row],[Column4]]&lt;0,"تم التسليم بعد الموعد")</f>
        <v>تم التسليم قبل الموعد</v>
      </c>
      <c r="W110" t="s">
        <v>197</v>
      </c>
      <c r="X110" t="s">
        <v>196</v>
      </c>
      <c r="Y110" s="1" t="str">
        <f>TRIM(table1[[#This Row],[الحالة]])</f>
        <v>تم التسليم</v>
      </c>
    </row>
    <row r="111" spans="1:25" ht="20.100000000000001" customHeight="1" x14ac:dyDescent="0.3">
      <c r="A111" t="s">
        <v>42</v>
      </c>
      <c r="B111" t="str">
        <f>IF(OR(table1[[#This Row],[أسم العميل]]="تاكى",table1[[#This Row],[أسم العميل]]="أوسكار راتن",table1[[#This Row],[أسم العميل]]="شيك هومز"),"شركات","أفراد")</f>
        <v>شركات</v>
      </c>
      <c r="C111" t="s">
        <v>41</v>
      </c>
      <c r="D111" t="s">
        <v>344</v>
      </c>
      <c r="E111" t="s">
        <v>42</v>
      </c>
      <c r="F111" t="s">
        <v>148</v>
      </c>
      <c r="G111" t="s">
        <v>277</v>
      </c>
      <c r="H111" t="s">
        <v>278</v>
      </c>
      <c r="I111">
        <v>160</v>
      </c>
      <c r="J111" t="s">
        <v>334</v>
      </c>
      <c r="K111" t="s">
        <v>334</v>
      </c>
      <c r="L111" t="s">
        <v>419</v>
      </c>
      <c r="M111"/>
      <c r="N111">
        <v>5100</v>
      </c>
      <c r="O111" t="s">
        <v>83</v>
      </c>
      <c r="P111" s="68">
        <v>45610</v>
      </c>
      <c r="Q111" s="67">
        <v>45634</v>
      </c>
      <c r="R111" s="67"/>
      <c r="S111" s="71">
        <f>IF(OR(ISBLANK(table1[[#This Row],[ميعاد الطلب]]),ISBLANK(table1[[#This Row],[ميعاد التسليم]])),0,table1[[#This Row],[ميعاد التسليم]]-table1[[#This Row],[ميعاد الطلب]])</f>
        <v>24</v>
      </c>
      <c r="T111" s="71">
        <f>IF(OR(ISBLANK(table1[[#This Row],[تاريخ التسليم]]),ISBLANK(table1[[#This Row],[ميعاد الطلب]]),ISBLANK(table1[[#This Row],[ميعاد التسليم]])),0,table1[[#This Row],[تاريخ التسليم]]-table1[[#This Row],[ميعاد الطلب]])</f>
        <v>0</v>
      </c>
      <c r="U111" s="80" t="s">
        <v>429</v>
      </c>
      <c r="V111" s="80" t="str" cm="1">
        <f t="array" ref="V111">_xlfn.IFS(OR(table1[[#This Row],[Column4]]=0,table1[[#This Row],[Column4]]="0"),"لا يوجد تاريخ", table1[[#This Row],[Column4]]&gt;0,"تم التسليم قبل الموعد",table1[[#This Row],[Column4]]&lt;0,"تم التسليم بعد الموعد")</f>
        <v>لا يوجد تاريخ</v>
      </c>
      <c r="W111"/>
      <c r="X111"/>
      <c r="Y111" s="1" t="str">
        <f>TRIM(table1[[#This Row],[الحالة]])</f>
        <v/>
      </c>
    </row>
    <row r="112" spans="1:25" ht="20.100000000000001" customHeight="1" x14ac:dyDescent="0.3">
      <c r="A112" t="s">
        <v>279</v>
      </c>
      <c r="B112" t="str">
        <f>IF(OR(table1[[#This Row],[أسم العميل]]="تاكى",table1[[#This Row],[أسم العميل]]="أوسكار راتن",table1[[#This Row],[أسم العميل]]="شيك هومز"),"شركات","أفراد")</f>
        <v>أفراد</v>
      </c>
      <c r="C112" t="s">
        <v>48</v>
      </c>
      <c r="D112" t="s">
        <v>344</v>
      </c>
      <c r="E112" t="s">
        <v>34</v>
      </c>
      <c r="F112" t="s">
        <v>148</v>
      </c>
      <c r="G112" t="s">
        <v>151</v>
      </c>
      <c r="H112" t="s">
        <v>281</v>
      </c>
      <c r="I112">
        <v>160</v>
      </c>
      <c r="J112" t="s">
        <v>174</v>
      </c>
      <c r="K112" t="s">
        <v>174</v>
      </c>
      <c r="L112" t="s">
        <v>333</v>
      </c>
      <c r="M112"/>
      <c r="N112">
        <v>6000</v>
      </c>
      <c r="O112">
        <v>5800</v>
      </c>
      <c r="P112" s="68">
        <v>45618</v>
      </c>
      <c r="Q112" s="67">
        <v>45628</v>
      </c>
      <c r="R112" s="67">
        <v>45623</v>
      </c>
      <c r="S112" s="71">
        <f>IF(OR(ISBLANK(table1[[#This Row],[ميعاد الطلب]]),ISBLANK(table1[[#This Row],[ميعاد التسليم]])),0,table1[[#This Row],[ميعاد التسليم]]-table1[[#This Row],[ميعاد الطلب]])</f>
        <v>10</v>
      </c>
      <c r="T112" s="71">
        <f>IF(OR(ISBLANK(table1[[#This Row],[تاريخ التسليم]]),ISBLANK(table1[[#This Row],[ميعاد الطلب]]),ISBLANK(table1[[#This Row],[ميعاد التسليم]])),0,table1[[#This Row],[تاريخ التسليم]]-table1[[#This Row],[ميعاد الطلب]])</f>
        <v>5</v>
      </c>
      <c r="U112" s="80">
        <v>5</v>
      </c>
      <c r="V112" s="80" t="str" cm="1">
        <f t="array" ref="V112">_xlfn.IFS(OR(table1[[#This Row],[Column4]]=0,table1[[#This Row],[Column4]]="0"),"لا يوجد تاريخ", table1[[#This Row],[Column4]]&gt;0,"تم التسليم قبل الموعد",table1[[#This Row],[Column4]]&lt;0,"تم التسليم بعد الموعد")</f>
        <v>تم التسليم قبل الموعد</v>
      </c>
      <c r="W112" t="s">
        <v>197</v>
      </c>
      <c r="X112" t="s">
        <v>196</v>
      </c>
      <c r="Y112" s="1" t="str">
        <f>TRIM(table1[[#This Row],[الحالة]])</f>
        <v>تم التسليم</v>
      </c>
    </row>
    <row r="113" spans="1:25" ht="20.100000000000001" customHeight="1" x14ac:dyDescent="0.3">
      <c r="A113" t="s">
        <v>409</v>
      </c>
      <c r="B113" t="str">
        <f>IF(OR(table1[[#This Row],[أسم العميل]]="تاكى",table1[[#This Row],[أسم العميل]]="أوسكار راتن",table1[[#This Row],[أسم العميل]]="شيك هومز"),"شركات","أفراد")</f>
        <v>أفراد</v>
      </c>
      <c r="C113" t="s">
        <v>361</v>
      </c>
      <c r="D113" t="s">
        <v>344</v>
      </c>
      <c r="E113" t="s">
        <v>7</v>
      </c>
      <c r="F113" t="s">
        <v>148</v>
      </c>
      <c r="G113" t="s">
        <v>277</v>
      </c>
      <c r="H113" t="s">
        <v>285</v>
      </c>
      <c r="I113">
        <v>120</v>
      </c>
      <c r="J113" t="s">
        <v>170</v>
      </c>
      <c r="K113" t="s">
        <v>170</v>
      </c>
      <c r="L113" t="s">
        <v>419</v>
      </c>
      <c r="M113"/>
      <c r="N113">
        <v>10885</v>
      </c>
      <c r="O113">
        <v>7965</v>
      </c>
      <c r="P113" s="68">
        <v>45620</v>
      </c>
      <c r="Q113" s="67">
        <v>45631</v>
      </c>
      <c r="R113" s="67">
        <v>45636</v>
      </c>
      <c r="S113" s="71">
        <f>IF(OR(ISBLANK(table1[[#This Row],[ميعاد الطلب]]),ISBLANK(table1[[#This Row],[ميعاد التسليم]])),0,table1[[#This Row],[ميعاد التسليم]]-table1[[#This Row],[ميعاد الطلب]])</f>
        <v>11</v>
      </c>
      <c r="T113" s="71">
        <f>IF(OR(ISBLANK(table1[[#This Row],[تاريخ التسليم]]),ISBLANK(table1[[#This Row],[ميعاد الطلب]]),ISBLANK(table1[[#This Row],[ميعاد التسليم]])),0,table1[[#This Row],[تاريخ التسليم]]-table1[[#This Row],[ميعاد الطلب]])</f>
        <v>16</v>
      </c>
      <c r="U113" s="80">
        <v>-5</v>
      </c>
      <c r="V113" s="80" t="str" cm="1">
        <f t="array" ref="V113">_xlfn.IFS(OR(table1[[#This Row],[Column4]]=0,table1[[#This Row],[Column4]]="0"),"لا يوجد تاريخ", table1[[#This Row],[Column4]]&gt;0,"تم التسليم قبل الموعد",table1[[#This Row],[Column4]]&lt;0,"تم التسليم بعد الموعد")</f>
        <v>تم التسليم بعد الموعد</v>
      </c>
      <c r="W113" t="s">
        <v>197</v>
      </c>
      <c r="X113" t="s">
        <v>196</v>
      </c>
      <c r="Y113" s="1" t="str">
        <f>TRIM(table1[[#This Row],[الحالة]])</f>
        <v>تم التسليم</v>
      </c>
    </row>
    <row r="114" spans="1:25" ht="20.100000000000001" customHeight="1" x14ac:dyDescent="0.3">
      <c r="A114" t="s">
        <v>42</v>
      </c>
      <c r="B114" t="str">
        <f>IF(OR(table1[[#This Row],[أسم العميل]]="تاكى",table1[[#This Row],[أسم العميل]]="أوسكار راتن",table1[[#This Row],[أسم العميل]]="شيك هومز"),"شركات","أفراد")</f>
        <v>شركات</v>
      </c>
      <c r="C114" t="s">
        <v>41</v>
      </c>
      <c r="D114" t="s">
        <v>344</v>
      </c>
      <c r="E114" t="s">
        <v>42</v>
      </c>
      <c r="F114" t="s">
        <v>159</v>
      </c>
      <c r="G114" t="s">
        <v>286</v>
      </c>
      <c r="H114" t="s">
        <v>286</v>
      </c>
      <c r="I114"/>
      <c r="J114" t="s">
        <v>419</v>
      </c>
      <c r="K114" t="s">
        <v>419</v>
      </c>
      <c r="L114" t="s">
        <v>419</v>
      </c>
      <c r="M114"/>
      <c r="N114">
        <v>6000</v>
      </c>
      <c r="O114">
        <v>6000</v>
      </c>
      <c r="P114" s="68">
        <v>45615</v>
      </c>
      <c r="Q114" s="67">
        <v>45631</v>
      </c>
      <c r="R114" s="67">
        <v>45616</v>
      </c>
      <c r="S114" s="71">
        <f>IF(OR(ISBLANK(table1[[#This Row],[ميعاد الطلب]]),ISBLANK(table1[[#This Row],[ميعاد التسليم]])),0,table1[[#This Row],[ميعاد التسليم]]-table1[[#This Row],[ميعاد الطلب]])</f>
        <v>16</v>
      </c>
      <c r="T114" s="71">
        <f>IF(OR(ISBLANK(table1[[#This Row],[تاريخ التسليم]]),ISBLANK(table1[[#This Row],[ميعاد الطلب]]),ISBLANK(table1[[#This Row],[ميعاد التسليم]])),0,table1[[#This Row],[تاريخ التسليم]]-table1[[#This Row],[ميعاد الطلب]])</f>
        <v>1</v>
      </c>
      <c r="U114" s="80">
        <v>15</v>
      </c>
      <c r="V114" s="80" t="str" cm="1">
        <f t="array" ref="V114">_xlfn.IFS(OR(table1[[#This Row],[Column4]]=0,table1[[#This Row],[Column4]]="0"),"لا يوجد تاريخ", table1[[#This Row],[Column4]]&gt;0,"تم التسليم قبل الموعد",table1[[#This Row],[Column4]]&lt;0,"تم التسليم بعد الموعد")</f>
        <v>تم التسليم قبل الموعد</v>
      </c>
      <c r="W114" t="s">
        <v>287</v>
      </c>
      <c r="X114" t="s">
        <v>196</v>
      </c>
      <c r="Y114" s="1" t="str">
        <f>TRIM(table1[[#This Row],[الحالة]])</f>
        <v>تم التسليم</v>
      </c>
    </row>
    <row r="115" spans="1:25" ht="20.100000000000001" customHeight="1" x14ac:dyDescent="0.3">
      <c r="A115" t="s">
        <v>288</v>
      </c>
      <c r="B115" t="str">
        <f>IF(OR(table1[[#This Row],[أسم العميل]]="تاكى",table1[[#This Row],[أسم العميل]]="أوسكار راتن",table1[[#This Row],[أسم العميل]]="شيك هومز"),"شركات","أفراد")</f>
        <v>أفراد</v>
      </c>
      <c r="C115" t="s">
        <v>362</v>
      </c>
      <c r="D115" t="s">
        <v>340</v>
      </c>
      <c r="E115" t="s">
        <v>7</v>
      </c>
      <c r="F115" t="s">
        <v>155</v>
      </c>
      <c r="G115"/>
      <c r="H115" t="s">
        <v>291</v>
      </c>
      <c r="I115"/>
      <c r="J115" t="s">
        <v>419</v>
      </c>
      <c r="K115" t="s">
        <v>419</v>
      </c>
      <c r="L115" t="s">
        <v>419</v>
      </c>
      <c r="M115"/>
      <c r="N115">
        <v>8449</v>
      </c>
      <c r="O115" t="s">
        <v>15</v>
      </c>
      <c r="P115" s="68">
        <v>45623</v>
      </c>
      <c r="Q115" s="67">
        <v>45636</v>
      </c>
      <c r="R115" s="67">
        <v>45649</v>
      </c>
      <c r="S115" s="71">
        <f>IF(OR(ISBLANK(table1[[#This Row],[ميعاد الطلب]]),ISBLANK(table1[[#This Row],[ميعاد التسليم]])),0,table1[[#This Row],[ميعاد التسليم]]-table1[[#This Row],[ميعاد الطلب]])</f>
        <v>13</v>
      </c>
      <c r="T115" s="71">
        <f>IF(OR(ISBLANK(table1[[#This Row],[تاريخ التسليم]]),ISBLANK(table1[[#This Row],[ميعاد الطلب]]),ISBLANK(table1[[#This Row],[ميعاد التسليم]])),0,table1[[#This Row],[تاريخ التسليم]]-table1[[#This Row],[ميعاد الطلب]])</f>
        <v>26</v>
      </c>
      <c r="U115" s="80">
        <v>-13</v>
      </c>
      <c r="V115" s="80" t="str" cm="1">
        <f t="array" ref="V115">_xlfn.IFS(OR(table1[[#This Row],[Column4]]=0,table1[[#This Row],[Column4]]="0"),"لا يوجد تاريخ", table1[[#This Row],[Column4]]&gt;0,"تم التسليم قبل الموعد",table1[[#This Row],[Column4]]&lt;0,"تم التسليم بعد الموعد")</f>
        <v>تم التسليم بعد الموعد</v>
      </c>
      <c r="W115" t="s">
        <v>27</v>
      </c>
      <c r="X115" t="s">
        <v>196</v>
      </c>
      <c r="Y115" s="1" t="str">
        <f>TRIM(table1[[#This Row],[الحالة]])</f>
        <v>تم التسليم</v>
      </c>
    </row>
    <row r="116" spans="1:25" ht="20.100000000000001" customHeight="1" x14ac:dyDescent="0.3">
      <c r="A116" t="s">
        <v>292</v>
      </c>
      <c r="B116" t="str">
        <f>IF(OR(table1[[#This Row],[أسم العميل]]="تاكى",table1[[#This Row],[أسم العميل]]="أوسكار راتن",table1[[#This Row],[أسم العميل]]="شيك هومز"),"شركات","أفراد")</f>
        <v>أفراد</v>
      </c>
      <c r="C116" t="s">
        <v>346</v>
      </c>
      <c r="D116" t="s">
        <v>344</v>
      </c>
      <c r="E116" t="s">
        <v>7</v>
      </c>
      <c r="F116" t="s">
        <v>155</v>
      </c>
      <c r="G116" t="s">
        <v>293</v>
      </c>
      <c r="H116" t="s">
        <v>294</v>
      </c>
      <c r="I116"/>
      <c r="J116" t="s">
        <v>333</v>
      </c>
      <c r="K116" t="s">
        <v>333</v>
      </c>
      <c r="L116" t="s">
        <v>418</v>
      </c>
      <c r="M116"/>
      <c r="N116">
        <v>10249</v>
      </c>
      <c r="O116">
        <v>6211</v>
      </c>
      <c r="P116" s="68">
        <v>45623</v>
      </c>
      <c r="Q116" s="67">
        <v>45636</v>
      </c>
      <c r="R116" s="67">
        <v>45645</v>
      </c>
      <c r="S116" s="71">
        <f>IF(OR(ISBLANK(table1[[#This Row],[ميعاد الطلب]]),ISBLANK(table1[[#This Row],[ميعاد التسليم]])),0,table1[[#This Row],[ميعاد التسليم]]-table1[[#This Row],[ميعاد الطلب]])</f>
        <v>13</v>
      </c>
      <c r="T116" s="71">
        <f>IF(OR(ISBLANK(table1[[#This Row],[تاريخ التسليم]]),ISBLANK(table1[[#This Row],[ميعاد الطلب]]),ISBLANK(table1[[#This Row],[ميعاد التسليم]])),0,table1[[#This Row],[تاريخ التسليم]]-table1[[#This Row],[ميعاد الطلب]])</f>
        <v>22</v>
      </c>
      <c r="U116" s="80">
        <v>-9</v>
      </c>
      <c r="V116" s="80" t="str" cm="1">
        <f t="array" ref="V116">_xlfn.IFS(OR(table1[[#This Row],[Column4]]=0,table1[[#This Row],[Column4]]="0"),"لا يوجد تاريخ", table1[[#This Row],[Column4]]&gt;0,"تم التسليم قبل الموعد",table1[[#This Row],[Column4]]&lt;0,"تم التسليم بعد الموعد")</f>
        <v>تم التسليم بعد الموعد</v>
      </c>
      <c r="W116" t="s">
        <v>197</v>
      </c>
      <c r="X116" t="s">
        <v>196</v>
      </c>
      <c r="Y116" s="1" t="str">
        <f>TRIM(table1[[#This Row],[الحالة]])</f>
        <v>تم التسليم</v>
      </c>
    </row>
    <row r="117" spans="1:25" ht="20.100000000000001" customHeight="1" x14ac:dyDescent="0.3">
      <c r="A117" t="s">
        <v>296</v>
      </c>
      <c r="B117" t="str">
        <f>IF(OR(table1[[#This Row],[أسم العميل]]="تاكى",table1[[#This Row],[أسم العميل]]="أوسكار راتن",table1[[#This Row],[أسم العميل]]="شيك هومز"),"شركات","أفراد")</f>
        <v>أفراد</v>
      </c>
      <c r="C117" t="s">
        <v>297</v>
      </c>
      <c r="D117" t="s">
        <v>340</v>
      </c>
      <c r="E117" t="s">
        <v>7</v>
      </c>
      <c r="F117" t="s">
        <v>148</v>
      </c>
      <c r="G117" t="s">
        <v>163</v>
      </c>
      <c r="H117" t="s">
        <v>153</v>
      </c>
      <c r="I117">
        <v>100</v>
      </c>
      <c r="J117" t="s">
        <v>334</v>
      </c>
      <c r="K117" t="s">
        <v>334</v>
      </c>
      <c r="L117" t="s">
        <v>419</v>
      </c>
      <c r="M117"/>
      <c r="N117">
        <v>14905</v>
      </c>
      <c r="O117" t="s">
        <v>15</v>
      </c>
      <c r="P117" s="68">
        <v>45625</v>
      </c>
      <c r="Q117" s="67">
        <v>45641</v>
      </c>
      <c r="R117" s="67"/>
      <c r="S117" s="71">
        <f>IF(OR(ISBLANK(table1[[#This Row],[ميعاد الطلب]]),ISBLANK(table1[[#This Row],[ميعاد التسليم]])),0,table1[[#This Row],[ميعاد التسليم]]-table1[[#This Row],[ميعاد الطلب]])</f>
        <v>16</v>
      </c>
      <c r="T117" s="71">
        <f>IF(OR(ISBLANK(table1[[#This Row],[تاريخ التسليم]]),ISBLANK(table1[[#This Row],[ميعاد الطلب]]),ISBLANK(table1[[#This Row],[ميعاد التسليم]])),0,table1[[#This Row],[تاريخ التسليم]]-table1[[#This Row],[ميعاد الطلب]])</f>
        <v>0</v>
      </c>
      <c r="U117" s="80" t="s">
        <v>429</v>
      </c>
      <c r="V117" s="80" t="str" cm="1">
        <f t="array" ref="V117">_xlfn.IFS(OR(table1[[#This Row],[Column4]]=0,table1[[#This Row],[Column4]]="0"),"لا يوجد تاريخ", table1[[#This Row],[Column4]]&gt;0,"تم التسليم قبل الموعد",table1[[#This Row],[Column4]]&lt;0,"تم التسليم بعد الموعد")</f>
        <v>لا يوجد تاريخ</v>
      </c>
      <c r="W117" t="s">
        <v>317</v>
      </c>
      <c r="X117" t="s">
        <v>234</v>
      </c>
      <c r="Y117" s="1" t="str">
        <f>TRIM(table1[[#This Row],[الحالة]])</f>
        <v>لاغى</v>
      </c>
    </row>
    <row r="118" spans="1:25" ht="20.100000000000001" customHeight="1" x14ac:dyDescent="0.3">
      <c r="A118" t="s">
        <v>301</v>
      </c>
      <c r="B118" t="str">
        <f>IF(OR(table1[[#This Row],[أسم العميل]]="تاكى",table1[[#This Row],[أسم العميل]]="أوسكار راتن",table1[[#This Row],[أسم العميل]]="شيك هومز"),"شركات","أفراد")</f>
        <v>أفراد</v>
      </c>
      <c r="C118" t="s">
        <v>66</v>
      </c>
      <c r="D118" t="s">
        <v>344</v>
      </c>
      <c r="E118" t="s">
        <v>7</v>
      </c>
      <c r="F118" t="s">
        <v>155</v>
      </c>
      <c r="G118" t="s">
        <v>293</v>
      </c>
      <c r="H118" t="s">
        <v>294</v>
      </c>
      <c r="I118"/>
      <c r="J118" t="s">
        <v>334</v>
      </c>
      <c r="K118" t="s">
        <v>334</v>
      </c>
      <c r="L118" t="s">
        <v>300</v>
      </c>
      <c r="M118"/>
      <c r="N118">
        <v>10249</v>
      </c>
      <c r="O118" t="s">
        <v>15</v>
      </c>
      <c r="P118" s="68">
        <v>45626</v>
      </c>
      <c r="Q118" s="67">
        <v>45638</v>
      </c>
      <c r="R118" s="67"/>
      <c r="S118" s="71">
        <f>IF(OR(ISBLANK(table1[[#This Row],[ميعاد الطلب]]),ISBLANK(table1[[#This Row],[ميعاد التسليم]])),0,table1[[#This Row],[ميعاد التسليم]]-table1[[#This Row],[ميعاد الطلب]])</f>
        <v>12</v>
      </c>
      <c r="T118" s="71">
        <f>IF(OR(ISBLANK(table1[[#This Row],[تاريخ التسليم]]),ISBLANK(table1[[#This Row],[ميعاد الطلب]]),ISBLANK(table1[[#This Row],[ميعاد التسليم]])),0,table1[[#This Row],[تاريخ التسليم]]-table1[[#This Row],[ميعاد الطلب]])</f>
        <v>0</v>
      </c>
      <c r="U118" s="80" t="s">
        <v>429</v>
      </c>
      <c r="V118" s="80" t="str" cm="1">
        <f t="array" ref="V118">_xlfn.IFS(OR(table1[[#This Row],[Column4]]=0,table1[[#This Row],[Column4]]="0"),"لا يوجد تاريخ", table1[[#This Row],[Column4]]&gt;0,"تم التسليم قبل الموعد",table1[[#This Row],[Column4]]&lt;0,"تم التسليم بعد الموعد")</f>
        <v>لا يوجد تاريخ</v>
      </c>
      <c r="W118"/>
      <c r="X118" t="s">
        <v>234</v>
      </c>
      <c r="Y118" s="1" t="str">
        <f>TRIM(table1[[#This Row],[الحالة]])</f>
        <v>لاغى</v>
      </c>
    </row>
    <row r="119" spans="1:25" ht="20.100000000000001" customHeight="1" x14ac:dyDescent="0.3">
      <c r="A119" t="s">
        <v>301</v>
      </c>
      <c r="B119" t="str">
        <f>IF(OR(table1[[#This Row],[أسم العميل]]="تاكى",table1[[#This Row],[أسم العميل]]="أوسكار راتن",table1[[#This Row],[أسم العميل]]="شيك هومز"),"شركات","أفراد")</f>
        <v>أفراد</v>
      </c>
      <c r="C119" t="s">
        <v>66</v>
      </c>
      <c r="D119" t="s">
        <v>344</v>
      </c>
      <c r="E119" t="s">
        <v>7</v>
      </c>
      <c r="F119" t="s">
        <v>155</v>
      </c>
      <c r="G119" t="s">
        <v>187</v>
      </c>
      <c r="H119"/>
      <c r="I119"/>
      <c r="J119" t="s">
        <v>334</v>
      </c>
      <c r="K119" t="s">
        <v>334</v>
      </c>
      <c r="L119" t="s">
        <v>300</v>
      </c>
      <c r="M119"/>
      <c r="N119">
        <v>9029</v>
      </c>
      <c r="O119" t="s">
        <v>15</v>
      </c>
      <c r="P119" s="68">
        <v>45626</v>
      </c>
      <c r="Q119" s="67">
        <v>45638</v>
      </c>
      <c r="R119" s="67"/>
      <c r="S119" s="71">
        <f>IF(OR(ISBLANK(table1[[#This Row],[ميعاد الطلب]]),ISBLANK(table1[[#This Row],[ميعاد التسليم]])),0,table1[[#This Row],[ميعاد التسليم]]-table1[[#This Row],[ميعاد الطلب]])</f>
        <v>12</v>
      </c>
      <c r="T119" s="71">
        <f>IF(OR(ISBLANK(table1[[#This Row],[تاريخ التسليم]]),ISBLANK(table1[[#This Row],[ميعاد الطلب]]),ISBLANK(table1[[#This Row],[ميعاد التسليم]])),0,table1[[#This Row],[تاريخ التسليم]]-table1[[#This Row],[ميعاد الطلب]])</f>
        <v>0</v>
      </c>
      <c r="U119" s="80" t="s">
        <v>429</v>
      </c>
      <c r="V119" s="80" t="str" cm="1">
        <f t="array" ref="V119">_xlfn.IFS(OR(table1[[#This Row],[Column4]]=0,table1[[#This Row],[Column4]]="0"),"لا يوجد تاريخ", table1[[#This Row],[Column4]]&gt;0,"تم التسليم قبل الموعد",table1[[#This Row],[Column4]]&lt;0,"تم التسليم بعد الموعد")</f>
        <v>لا يوجد تاريخ</v>
      </c>
      <c r="W119"/>
      <c r="X119" t="s">
        <v>234</v>
      </c>
      <c r="Y119" s="1" t="str">
        <f>TRIM(table1[[#This Row],[الحالة]])</f>
        <v>لاغى</v>
      </c>
    </row>
    <row r="120" spans="1:25" ht="20.100000000000001" customHeight="1" x14ac:dyDescent="0.3">
      <c r="A120" t="s">
        <v>304</v>
      </c>
      <c r="B120" t="str">
        <f>IF(OR(table1[[#This Row],[أسم العميل]]="تاكى",table1[[#This Row],[أسم العميل]]="أوسكار راتن",table1[[#This Row],[أسم العميل]]="شيك هومز"),"شركات","أفراد")</f>
        <v>أفراد</v>
      </c>
      <c r="C120" t="s">
        <v>142</v>
      </c>
      <c r="D120" t="s">
        <v>349</v>
      </c>
      <c r="E120" t="s">
        <v>7</v>
      </c>
      <c r="F120" t="s">
        <v>155</v>
      </c>
      <c r="G120" t="s">
        <v>305</v>
      </c>
      <c r="H120"/>
      <c r="I120"/>
      <c r="J120" t="s">
        <v>334</v>
      </c>
      <c r="K120" t="s">
        <v>334</v>
      </c>
      <c r="L120" t="s">
        <v>216</v>
      </c>
      <c r="M120"/>
      <c r="N120">
        <v>9029</v>
      </c>
      <c r="O120" t="s">
        <v>15</v>
      </c>
      <c r="P120" s="68">
        <v>45626</v>
      </c>
      <c r="Q120" s="67">
        <v>45638</v>
      </c>
      <c r="R120" s="67"/>
      <c r="S120" s="71">
        <f>IF(OR(ISBLANK(table1[[#This Row],[ميعاد الطلب]]),ISBLANK(table1[[#This Row],[ميعاد التسليم]])),0,table1[[#This Row],[ميعاد التسليم]]-table1[[#This Row],[ميعاد الطلب]])</f>
        <v>12</v>
      </c>
      <c r="T120" s="71">
        <f>IF(OR(ISBLANK(table1[[#This Row],[تاريخ التسليم]]),ISBLANK(table1[[#This Row],[ميعاد الطلب]]),ISBLANK(table1[[#This Row],[ميعاد التسليم]])),0,table1[[#This Row],[تاريخ التسليم]]-table1[[#This Row],[ميعاد الطلب]])</f>
        <v>0</v>
      </c>
      <c r="U120" s="80" t="s">
        <v>429</v>
      </c>
      <c r="V120" s="80" t="str" cm="1">
        <f t="array" ref="V120">_xlfn.IFS(OR(table1[[#This Row],[Column4]]=0,table1[[#This Row],[Column4]]="0"),"لا يوجد تاريخ", table1[[#This Row],[Column4]]&gt;0,"تم التسليم قبل الموعد",table1[[#This Row],[Column4]]&lt;0,"تم التسليم بعد الموعد")</f>
        <v>لا يوجد تاريخ</v>
      </c>
      <c r="W120"/>
      <c r="X120"/>
      <c r="Y120" s="1" t="str">
        <f>TRIM(table1[[#This Row],[الحالة]])</f>
        <v/>
      </c>
    </row>
    <row r="121" spans="1:25" ht="20.100000000000001" customHeight="1" x14ac:dyDescent="0.3">
      <c r="A121" t="s">
        <v>307</v>
      </c>
      <c r="B121" t="str">
        <f>IF(OR(table1[[#This Row],[أسم العميل]]="تاكى",table1[[#This Row],[أسم العميل]]="أوسكار راتن",table1[[#This Row],[أسم العميل]]="شيك هومز"),"شركات","أفراد")</f>
        <v>أفراد</v>
      </c>
      <c r="C121" t="s">
        <v>308</v>
      </c>
      <c r="D121" t="s">
        <v>344</v>
      </c>
      <c r="E121" t="s">
        <v>7</v>
      </c>
      <c r="F121" t="s">
        <v>148</v>
      </c>
      <c r="G121" t="s">
        <v>271</v>
      </c>
      <c r="H121" t="s">
        <v>150</v>
      </c>
      <c r="I121">
        <v>80</v>
      </c>
      <c r="J121" t="s">
        <v>333</v>
      </c>
      <c r="K121" t="s">
        <v>333</v>
      </c>
      <c r="L121" t="s">
        <v>419</v>
      </c>
      <c r="M121"/>
      <c r="N121">
        <v>12099</v>
      </c>
      <c r="O121" t="s">
        <v>15</v>
      </c>
      <c r="P121" s="68">
        <v>45628</v>
      </c>
      <c r="Q121" s="67">
        <v>45643</v>
      </c>
      <c r="R121" s="67"/>
      <c r="S121" s="71">
        <f>IF(OR(ISBLANK(table1[[#This Row],[ميعاد الطلب]]),ISBLANK(table1[[#This Row],[ميعاد التسليم]])),0,table1[[#This Row],[ميعاد التسليم]]-table1[[#This Row],[ميعاد الطلب]])</f>
        <v>15</v>
      </c>
      <c r="T121" s="71">
        <f>IF(OR(ISBLANK(table1[[#This Row],[تاريخ التسليم]]),ISBLANK(table1[[#This Row],[ميعاد الطلب]]),ISBLANK(table1[[#This Row],[ميعاد التسليم]])),0,table1[[#This Row],[تاريخ التسليم]]-table1[[#This Row],[ميعاد الطلب]])</f>
        <v>0</v>
      </c>
      <c r="U121" s="80" t="s">
        <v>429</v>
      </c>
      <c r="V121" s="80" t="str" cm="1">
        <f t="array" ref="V121">_xlfn.IFS(OR(table1[[#This Row],[Column4]]=0,table1[[#This Row],[Column4]]="0"),"لا يوجد تاريخ", table1[[#This Row],[Column4]]&gt;0,"تم التسليم قبل الموعد",table1[[#This Row],[Column4]]&lt;0,"تم التسليم بعد الموعد")</f>
        <v>لا يوجد تاريخ</v>
      </c>
      <c r="W121"/>
      <c r="X121" t="s">
        <v>234</v>
      </c>
      <c r="Y121" s="1" t="str">
        <f>TRIM(table1[[#This Row],[الحالة]])</f>
        <v>لاغى</v>
      </c>
    </row>
    <row r="122" spans="1:25" ht="20.100000000000001" customHeight="1" x14ac:dyDescent="0.3">
      <c r="A122" t="s">
        <v>81</v>
      </c>
      <c r="B122" t="str">
        <f>IF(OR(table1[[#This Row],[أسم العميل]]="تاكى",table1[[#This Row],[أسم العميل]]="أوسكار راتن",table1[[#This Row],[أسم العميل]]="شيك هومز"),"شركات","أفراد")</f>
        <v>شركات</v>
      </c>
      <c r="C122" t="s">
        <v>358</v>
      </c>
      <c r="D122" t="s">
        <v>348</v>
      </c>
      <c r="E122" t="s">
        <v>414</v>
      </c>
      <c r="F122" t="s">
        <v>148</v>
      </c>
      <c r="G122" t="s">
        <v>271</v>
      </c>
      <c r="H122" t="s">
        <v>275</v>
      </c>
      <c r="I122">
        <v>90</v>
      </c>
      <c r="J122" t="s">
        <v>168</v>
      </c>
      <c r="K122" t="s">
        <v>168</v>
      </c>
      <c r="L122" t="s">
        <v>419</v>
      </c>
      <c r="M122"/>
      <c r="N122">
        <v>5217</v>
      </c>
      <c r="O122" t="s">
        <v>83</v>
      </c>
      <c r="P122" s="68">
        <v>45627</v>
      </c>
      <c r="Q122" s="67">
        <v>45640</v>
      </c>
      <c r="R122" s="67">
        <v>45636</v>
      </c>
      <c r="S122" s="71">
        <f>IF(OR(ISBLANK(table1[[#This Row],[ميعاد الطلب]]),ISBLANK(table1[[#This Row],[ميعاد التسليم]])),0,table1[[#This Row],[ميعاد التسليم]]-table1[[#This Row],[ميعاد الطلب]])</f>
        <v>13</v>
      </c>
      <c r="T122" s="71">
        <f>IF(OR(ISBLANK(table1[[#This Row],[تاريخ التسليم]]),ISBLANK(table1[[#This Row],[ميعاد الطلب]]),ISBLANK(table1[[#This Row],[ميعاد التسليم]])),0,table1[[#This Row],[تاريخ التسليم]]-table1[[#This Row],[ميعاد الطلب]])</f>
        <v>9</v>
      </c>
      <c r="U122" s="80">
        <v>4</v>
      </c>
      <c r="V122" s="80" t="str" cm="1">
        <f t="array" ref="V122">_xlfn.IFS(OR(table1[[#This Row],[Column4]]=0,table1[[#This Row],[Column4]]="0"),"لا يوجد تاريخ", table1[[#This Row],[Column4]]&gt;0,"تم التسليم قبل الموعد",table1[[#This Row],[Column4]]&lt;0,"تم التسليم بعد الموعد")</f>
        <v>تم التسليم قبل الموعد</v>
      </c>
      <c r="W122" t="s">
        <v>197</v>
      </c>
      <c r="X122" t="s">
        <v>196</v>
      </c>
      <c r="Y122" s="1" t="str">
        <f>TRIM(table1[[#This Row],[الحالة]])</f>
        <v>تم التسليم</v>
      </c>
    </row>
    <row r="123" spans="1:25" ht="20.100000000000001" customHeight="1" x14ac:dyDescent="0.3">
      <c r="A123" t="s">
        <v>410</v>
      </c>
      <c r="B123" t="str">
        <f>IF(OR(table1[[#This Row],[أسم العميل]]="تاكى",table1[[#This Row],[أسم العميل]]="أوسكار راتن",table1[[#This Row],[أسم العميل]]="شيك هومز"),"شركات","أفراد")</f>
        <v>أفراد</v>
      </c>
      <c r="C123" t="s">
        <v>133</v>
      </c>
      <c r="D123" t="s">
        <v>348</v>
      </c>
      <c r="E123" t="s">
        <v>7</v>
      </c>
      <c r="F123" t="s">
        <v>148</v>
      </c>
      <c r="G123" t="s">
        <v>149</v>
      </c>
      <c r="H123"/>
      <c r="I123"/>
      <c r="J123" t="s">
        <v>334</v>
      </c>
      <c r="K123" t="s">
        <v>334</v>
      </c>
      <c r="L123" t="s">
        <v>334</v>
      </c>
      <c r="M123"/>
      <c r="N123">
        <v>10249</v>
      </c>
      <c r="O123">
        <v>6211</v>
      </c>
      <c r="P123" s="68">
        <v>45630</v>
      </c>
      <c r="Q123" s="67">
        <v>45640</v>
      </c>
      <c r="R123" s="67">
        <v>45645</v>
      </c>
      <c r="S123" s="71">
        <f>IF(OR(ISBLANK(table1[[#This Row],[ميعاد الطلب]]),ISBLANK(table1[[#This Row],[ميعاد التسليم]])),0,table1[[#This Row],[ميعاد التسليم]]-table1[[#This Row],[ميعاد الطلب]])</f>
        <v>10</v>
      </c>
      <c r="T123" s="71">
        <f>IF(OR(ISBLANK(table1[[#This Row],[تاريخ التسليم]]),ISBLANK(table1[[#This Row],[ميعاد الطلب]]),ISBLANK(table1[[#This Row],[ميعاد التسليم]])),0,table1[[#This Row],[تاريخ التسليم]]-table1[[#This Row],[ميعاد الطلب]])</f>
        <v>15</v>
      </c>
      <c r="U123" s="80">
        <v>-5</v>
      </c>
      <c r="V123" s="80" t="str" cm="1">
        <f t="array" ref="V123">_xlfn.IFS(OR(table1[[#This Row],[Column4]]=0,table1[[#This Row],[Column4]]="0"),"لا يوجد تاريخ", table1[[#This Row],[Column4]]&gt;0,"تم التسليم قبل الموعد",table1[[#This Row],[Column4]]&lt;0,"تم التسليم بعد الموعد")</f>
        <v>تم التسليم بعد الموعد</v>
      </c>
      <c r="W123" t="s">
        <v>197</v>
      </c>
      <c r="X123" t="s">
        <v>196</v>
      </c>
      <c r="Y123" s="1" t="str">
        <f>TRIM(table1[[#This Row],[الحالة]])</f>
        <v>تم التسليم</v>
      </c>
    </row>
    <row r="124" spans="1:25" ht="20.100000000000001" customHeight="1" x14ac:dyDescent="0.3">
      <c r="A124" t="s">
        <v>311</v>
      </c>
      <c r="B124" t="str">
        <f>IF(OR(table1[[#This Row],[أسم العميل]]="تاكى",table1[[#This Row],[أسم العميل]]="أوسكار راتن",table1[[#This Row],[أسم العميل]]="شيك هومز"),"شركات","أفراد")</f>
        <v>أفراد</v>
      </c>
      <c r="C124" t="s">
        <v>363</v>
      </c>
      <c r="D124" t="s">
        <v>344</v>
      </c>
      <c r="E124" t="s">
        <v>51</v>
      </c>
      <c r="F124" t="s">
        <v>148</v>
      </c>
      <c r="G124" t="s">
        <v>163</v>
      </c>
      <c r="H124" t="s">
        <v>152</v>
      </c>
      <c r="I124"/>
      <c r="J124" t="s">
        <v>334</v>
      </c>
      <c r="K124" t="s">
        <v>334</v>
      </c>
      <c r="L124" t="s">
        <v>419</v>
      </c>
      <c r="M124"/>
      <c r="N124">
        <v>10445</v>
      </c>
      <c r="O124">
        <v>7707</v>
      </c>
      <c r="P124" s="68">
        <v>45635</v>
      </c>
      <c r="Q124" s="67">
        <v>45657</v>
      </c>
      <c r="R124" s="67">
        <v>45638</v>
      </c>
      <c r="S124" s="71">
        <f>IF(OR(ISBLANK(table1[[#This Row],[ميعاد الطلب]]),ISBLANK(table1[[#This Row],[ميعاد التسليم]])),0,table1[[#This Row],[ميعاد التسليم]]-table1[[#This Row],[ميعاد الطلب]])</f>
        <v>22</v>
      </c>
      <c r="T124" s="71">
        <f>IF(OR(ISBLANK(table1[[#This Row],[تاريخ التسليم]]),ISBLANK(table1[[#This Row],[ميعاد الطلب]]),ISBLANK(table1[[#This Row],[ميعاد التسليم]])),0,table1[[#This Row],[تاريخ التسليم]]-table1[[#This Row],[ميعاد الطلب]])</f>
        <v>3</v>
      </c>
      <c r="U124" s="80">
        <v>19</v>
      </c>
      <c r="V124" s="80" t="str" cm="1">
        <f t="array" ref="V124">_xlfn.IFS(OR(table1[[#This Row],[Column4]]=0,table1[[#This Row],[Column4]]="0"),"لا يوجد تاريخ", table1[[#This Row],[Column4]]&gt;0,"تم التسليم قبل الموعد",table1[[#This Row],[Column4]]&lt;0,"تم التسليم بعد الموعد")</f>
        <v>تم التسليم قبل الموعد</v>
      </c>
      <c r="W124" t="s">
        <v>197</v>
      </c>
      <c r="X124" t="s">
        <v>196</v>
      </c>
      <c r="Y124" s="1" t="str">
        <f>TRIM(table1[[#This Row],[الحالة]])</f>
        <v>تم التسليم</v>
      </c>
    </row>
    <row r="125" spans="1:25" ht="20.100000000000001" customHeight="1" x14ac:dyDescent="0.3">
      <c r="A125" t="s">
        <v>411</v>
      </c>
      <c r="B125" t="str">
        <f>IF(OR(table1[[#This Row],[أسم العميل]]="تاكى",table1[[#This Row],[أسم العميل]]="أوسكار راتن",table1[[#This Row],[أسم العميل]]="شيك هومز"),"شركات","أفراد")</f>
        <v>أفراد</v>
      </c>
      <c r="C125" t="s">
        <v>66</v>
      </c>
      <c r="D125" t="s">
        <v>344</v>
      </c>
      <c r="E125" t="s">
        <v>7</v>
      </c>
      <c r="F125" t="s">
        <v>155</v>
      </c>
      <c r="G125" t="s">
        <v>314</v>
      </c>
      <c r="H125" t="s">
        <v>294</v>
      </c>
      <c r="I125"/>
      <c r="J125" t="s">
        <v>334</v>
      </c>
      <c r="K125" t="s">
        <v>334</v>
      </c>
      <c r="L125" t="s">
        <v>300</v>
      </c>
      <c r="M125"/>
      <c r="N125">
        <v>11199</v>
      </c>
      <c r="O125">
        <v>11257</v>
      </c>
      <c r="P125" s="68">
        <v>45638</v>
      </c>
      <c r="Q125" s="67">
        <v>45650</v>
      </c>
      <c r="R125" s="67">
        <v>45645</v>
      </c>
      <c r="S125" s="71">
        <f>IF(OR(ISBLANK(table1[[#This Row],[ميعاد الطلب]]),ISBLANK(table1[[#This Row],[ميعاد التسليم]])),0,table1[[#This Row],[ميعاد التسليم]]-table1[[#This Row],[ميعاد الطلب]])</f>
        <v>12</v>
      </c>
      <c r="T125" s="71">
        <f>IF(OR(ISBLANK(table1[[#This Row],[تاريخ التسليم]]),ISBLANK(table1[[#This Row],[ميعاد الطلب]]),ISBLANK(table1[[#This Row],[ميعاد التسليم]])),0,table1[[#This Row],[تاريخ التسليم]]-table1[[#This Row],[ميعاد الطلب]])</f>
        <v>7</v>
      </c>
      <c r="U125" s="80">
        <v>5</v>
      </c>
      <c r="V125" s="80" t="str" cm="1">
        <f t="array" ref="V125">_xlfn.IFS(OR(table1[[#This Row],[Column4]]=0,table1[[#This Row],[Column4]]="0"),"لا يوجد تاريخ", table1[[#This Row],[Column4]]&gt;0,"تم التسليم قبل الموعد",table1[[#This Row],[Column4]]&lt;0,"تم التسليم بعد الموعد")</f>
        <v>تم التسليم قبل الموعد</v>
      </c>
      <c r="W125" t="s">
        <v>197</v>
      </c>
      <c r="X125" t="s">
        <v>196</v>
      </c>
      <c r="Y125" s="1" t="str">
        <f>TRIM(table1[[#This Row],[الحالة]])</f>
        <v>تم التسليم</v>
      </c>
    </row>
    <row r="126" spans="1:25" ht="20.100000000000001" customHeight="1" x14ac:dyDescent="0.3">
      <c r="A126" t="s">
        <v>315</v>
      </c>
      <c r="B126" t="str">
        <f>IF(OR(table1[[#This Row],[أسم العميل]]="تاكى",table1[[#This Row],[أسم العميل]]="أوسكار راتن",table1[[#This Row],[أسم العميل]]="شيك هومز"),"شركات","أفراد")</f>
        <v>أفراد</v>
      </c>
      <c r="C126" t="s">
        <v>276</v>
      </c>
      <c r="D126" t="s">
        <v>339</v>
      </c>
      <c r="E126" t="s">
        <v>7</v>
      </c>
      <c r="F126" t="s">
        <v>148</v>
      </c>
      <c r="G126" t="s">
        <v>163</v>
      </c>
      <c r="H126" t="s">
        <v>150</v>
      </c>
      <c r="I126">
        <v>80</v>
      </c>
      <c r="J126" t="s">
        <v>334</v>
      </c>
      <c r="K126" t="s">
        <v>334</v>
      </c>
      <c r="L126" t="s">
        <v>419</v>
      </c>
      <c r="M126"/>
      <c r="N126">
        <v>13099</v>
      </c>
      <c r="O126">
        <v>13231</v>
      </c>
      <c r="P126" s="68">
        <v>45638</v>
      </c>
      <c r="Q126" s="67">
        <v>45654</v>
      </c>
      <c r="R126" s="67">
        <v>45655</v>
      </c>
      <c r="S126" s="71">
        <f>IF(OR(ISBLANK(table1[[#This Row],[ميعاد الطلب]]),ISBLANK(table1[[#This Row],[ميعاد التسليم]])),0,table1[[#This Row],[ميعاد التسليم]]-table1[[#This Row],[ميعاد الطلب]])</f>
        <v>16</v>
      </c>
      <c r="T126" s="71">
        <f>IF(OR(ISBLANK(table1[[#This Row],[تاريخ التسليم]]),ISBLANK(table1[[#This Row],[ميعاد الطلب]]),ISBLANK(table1[[#This Row],[ميعاد التسليم]])),0,table1[[#This Row],[تاريخ التسليم]]-table1[[#This Row],[ميعاد الطلب]])</f>
        <v>17</v>
      </c>
      <c r="U126" s="80">
        <v>-1</v>
      </c>
      <c r="V126" s="80" t="str" cm="1">
        <f t="array" ref="V126">_xlfn.IFS(OR(table1[[#This Row],[Column4]]=0,table1[[#This Row],[Column4]]="0"),"لا يوجد تاريخ", table1[[#This Row],[Column4]]&gt;0,"تم التسليم قبل الموعد",table1[[#This Row],[Column4]]&lt;0,"تم التسليم بعد الموعد")</f>
        <v>تم التسليم بعد الموعد</v>
      </c>
      <c r="W126" t="s">
        <v>197</v>
      </c>
      <c r="X126" t="s">
        <v>196</v>
      </c>
      <c r="Y126" s="1" t="str">
        <f>TRIM(table1[[#This Row],[الحالة]])</f>
        <v>تم التسليم</v>
      </c>
    </row>
    <row r="127" spans="1:25" ht="20.100000000000001" customHeight="1" x14ac:dyDescent="0.3">
      <c r="A127" t="s">
        <v>51</v>
      </c>
      <c r="B127" t="str">
        <f>IF(OR(table1[[#This Row],[أسم العميل]]="تاكى",table1[[#This Row],[أسم العميل]]="أوسكار راتن",table1[[#This Row],[أسم العميل]]="شيك هومز"),"شركات","أفراد")</f>
        <v>شركات</v>
      </c>
      <c r="C127" t="s">
        <v>222</v>
      </c>
      <c r="D127" t="s">
        <v>359</v>
      </c>
      <c r="E127" t="s">
        <v>51</v>
      </c>
      <c r="F127" t="s">
        <v>159</v>
      </c>
      <c r="G127" t="s">
        <v>204</v>
      </c>
      <c r="H127" t="s">
        <v>256</v>
      </c>
      <c r="I127"/>
      <c r="J127" t="s">
        <v>334</v>
      </c>
      <c r="K127" t="s">
        <v>334</v>
      </c>
      <c r="L127" t="s">
        <v>316</v>
      </c>
      <c r="M127"/>
      <c r="N127">
        <v>8700</v>
      </c>
      <c r="O127" t="s">
        <v>83</v>
      </c>
      <c r="P127" s="68">
        <v>45640</v>
      </c>
      <c r="Q127" s="67">
        <v>45662</v>
      </c>
      <c r="R127" s="67">
        <v>45655</v>
      </c>
      <c r="S127" s="71">
        <f>IF(OR(ISBLANK(table1[[#This Row],[ميعاد الطلب]]),ISBLANK(table1[[#This Row],[ميعاد التسليم]])),0,table1[[#This Row],[ميعاد التسليم]]-table1[[#This Row],[ميعاد الطلب]])</f>
        <v>22</v>
      </c>
      <c r="T127" s="71">
        <f>IF(OR(ISBLANK(table1[[#This Row],[تاريخ التسليم]]),ISBLANK(table1[[#This Row],[ميعاد الطلب]]),ISBLANK(table1[[#This Row],[ميعاد التسليم]])),0,table1[[#This Row],[تاريخ التسليم]]-table1[[#This Row],[ميعاد الطلب]])</f>
        <v>15</v>
      </c>
      <c r="U127" s="80">
        <v>7</v>
      </c>
      <c r="V127" s="80" t="str" cm="1">
        <f t="array" ref="V127">_xlfn.IFS(OR(table1[[#This Row],[Column4]]=0,table1[[#This Row],[Column4]]="0"),"لا يوجد تاريخ", table1[[#This Row],[Column4]]&gt;0,"تم التسليم قبل الموعد",table1[[#This Row],[Column4]]&lt;0,"تم التسليم بعد الموعد")</f>
        <v>تم التسليم قبل الموعد</v>
      </c>
      <c r="W127" t="s">
        <v>197</v>
      </c>
      <c r="X127" t="s">
        <v>196</v>
      </c>
      <c r="Y127" s="1" t="str">
        <f>TRIM(table1[[#This Row],[الحالة]])</f>
        <v>تم التسليم</v>
      </c>
    </row>
    <row r="128" spans="1:25" ht="20.100000000000001" customHeight="1" x14ac:dyDescent="0.3">
      <c r="A128" s="2"/>
      <c r="B128" s="2"/>
      <c r="C128" s="2"/>
      <c r="D128" s="2"/>
      <c r="E128" s="2"/>
      <c r="F128" s="2"/>
      <c r="G128" s="2"/>
      <c r="H128" s="2"/>
      <c r="I128" s="2"/>
      <c r="J128" s="2"/>
      <c r="K128" s="2"/>
      <c r="L128" s="2"/>
      <c r="M128" s="2"/>
      <c r="N128" s="25"/>
      <c r="O128" s="2"/>
      <c r="P128" s="2"/>
      <c r="Q128" s="2"/>
      <c r="R128" s="2"/>
      <c r="S128" s="2"/>
      <c r="T128" s="2"/>
      <c r="X128" s="26"/>
    </row>
    <row r="129" spans="1:24" ht="20.100000000000001" customHeight="1" x14ac:dyDescent="0.3">
      <c r="A129" s="2"/>
      <c r="B129" s="2"/>
      <c r="C129" s="2"/>
      <c r="D129" s="2"/>
      <c r="E129" s="2"/>
      <c r="F129" s="2"/>
      <c r="G129" s="2"/>
      <c r="H129" s="2"/>
      <c r="I129" s="2"/>
      <c r="J129" s="2"/>
      <c r="K129" s="2"/>
      <c r="L129" s="2"/>
      <c r="M129" s="2"/>
      <c r="N129" s="25"/>
      <c r="O129" s="2"/>
      <c r="P129" s="2"/>
      <c r="Q129" s="2"/>
      <c r="R129" s="2"/>
      <c r="S129" s="2"/>
      <c r="T129" s="2"/>
      <c r="X129" s="26"/>
    </row>
    <row r="130" spans="1:24" ht="20.100000000000001" customHeight="1" x14ac:dyDescent="0.3">
      <c r="A130" s="2"/>
      <c r="B130" s="2"/>
      <c r="C130" s="2"/>
      <c r="D130" s="2"/>
      <c r="E130" s="2"/>
      <c r="F130" s="2"/>
      <c r="G130" s="2"/>
      <c r="H130" s="2"/>
      <c r="I130" s="2"/>
      <c r="J130" s="2"/>
      <c r="K130" s="2"/>
      <c r="L130" s="2"/>
      <c r="M130" s="2"/>
      <c r="N130" s="25"/>
      <c r="O130" s="2"/>
      <c r="P130" s="2"/>
      <c r="Q130" s="2"/>
      <c r="R130" s="2"/>
      <c r="S130" s="2"/>
      <c r="T130" s="2"/>
      <c r="X130" s="26"/>
    </row>
    <row r="131" spans="1:24" ht="20.100000000000001" customHeight="1" x14ac:dyDescent="0.3">
      <c r="A131" s="2"/>
      <c r="B131" s="2"/>
      <c r="C131" s="2"/>
      <c r="D131" s="2"/>
      <c r="E131" s="2"/>
      <c r="F131" s="2"/>
      <c r="G131" s="2"/>
      <c r="H131" s="2"/>
      <c r="I131" s="2"/>
      <c r="J131" s="2"/>
      <c r="K131" s="2"/>
      <c r="L131" s="2"/>
      <c r="M131" s="2"/>
      <c r="N131" s="25"/>
      <c r="O131" s="2"/>
      <c r="P131" s="2"/>
      <c r="Q131" s="2"/>
      <c r="R131" s="2"/>
      <c r="S131" s="2"/>
      <c r="T131" s="2"/>
      <c r="X131" s="26"/>
    </row>
    <row r="132" spans="1:24" ht="20.100000000000001" customHeight="1" x14ac:dyDescent="0.3">
      <c r="A132" s="2"/>
      <c r="B132" s="2"/>
      <c r="C132" s="2"/>
      <c r="D132" s="2"/>
      <c r="E132" s="2"/>
      <c r="F132" s="2"/>
      <c r="G132" s="2"/>
      <c r="H132" s="2"/>
      <c r="I132" s="2"/>
      <c r="J132" s="2"/>
      <c r="K132" s="2"/>
      <c r="L132" s="2"/>
      <c r="M132" s="2"/>
      <c r="N132" s="25"/>
      <c r="O132" s="2"/>
      <c r="P132" s="2"/>
      <c r="Q132" s="2"/>
      <c r="R132" s="2"/>
      <c r="S132" s="2"/>
      <c r="T132" s="2"/>
      <c r="X132" s="26"/>
    </row>
    <row r="133" spans="1:24" ht="20.100000000000001" customHeight="1" x14ac:dyDescent="0.3">
      <c r="A133" s="2"/>
      <c r="B133" s="2"/>
      <c r="C133" s="2"/>
      <c r="D133" s="2"/>
      <c r="E133" s="2"/>
      <c r="F133" s="2"/>
      <c r="G133" s="2"/>
      <c r="H133" s="2"/>
      <c r="I133" s="2"/>
      <c r="J133" s="2"/>
      <c r="K133" s="2"/>
      <c r="L133" s="2"/>
      <c r="M133" s="2"/>
      <c r="N133" s="25"/>
      <c r="O133" s="2"/>
      <c r="P133" s="2"/>
      <c r="Q133" s="2"/>
      <c r="R133" s="2"/>
      <c r="S133" s="2"/>
      <c r="T133" s="2"/>
      <c r="X133" s="26"/>
    </row>
    <row r="134" spans="1:24" ht="20.100000000000001" customHeight="1" x14ac:dyDescent="0.3">
      <c r="A134" s="2"/>
      <c r="B134" s="2"/>
      <c r="C134" s="2"/>
      <c r="D134" s="2"/>
      <c r="E134" s="2"/>
      <c r="F134" s="2"/>
      <c r="G134" s="2"/>
      <c r="H134" s="2"/>
      <c r="I134" s="2"/>
      <c r="J134" s="2"/>
      <c r="K134" s="2"/>
      <c r="L134" s="2"/>
      <c r="M134" s="2"/>
      <c r="N134" s="25"/>
      <c r="O134" s="2"/>
      <c r="P134" s="2"/>
      <c r="Q134" s="2"/>
      <c r="R134" s="2"/>
      <c r="S134" s="2"/>
      <c r="T134" s="2"/>
      <c r="X134" s="26"/>
    </row>
    <row r="135" spans="1:24" ht="20.100000000000001" customHeight="1" x14ac:dyDescent="0.3">
      <c r="A135" s="2"/>
      <c r="B135" s="2"/>
      <c r="C135" s="2"/>
      <c r="D135" s="2"/>
      <c r="E135" s="2"/>
      <c r="F135" s="2"/>
      <c r="G135" s="2"/>
      <c r="H135" s="2"/>
      <c r="I135" s="2"/>
      <c r="J135" s="2"/>
      <c r="K135" s="2"/>
      <c r="L135" s="2"/>
      <c r="M135" s="2"/>
      <c r="N135" s="25"/>
      <c r="O135" s="2"/>
      <c r="P135" s="2"/>
      <c r="Q135" s="2"/>
      <c r="R135" s="2"/>
      <c r="S135" s="2"/>
      <c r="T135" s="2"/>
      <c r="X135" s="26"/>
    </row>
    <row r="136" spans="1:24" ht="20.100000000000001" customHeight="1" x14ac:dyDescent="0.3">
      <c r="A136" s="2"/>
      <c r="B136" s="2"/>
      <c r="C136" s="2"/>
      <c r="D136" s="2"/>
      <c r="E136" s="2"/>
      <c r="F136" s="2"/>
      <c r="G136" s="2"/>
      <c r="H136" s="2"/>
      <c r="I136" s="2"/>
      <c r="J136" s="2"/>
      <c r="K136" s="2"/>
      <c r="L136" s="2"/>
      <c r="M136" s="2"/>
      <c r="N136" s="25"/>
      <c r="O136" s="2"/>
      <c r="P136" s="2"/>
      <c r="Q136" s="2"/>
      <c r="R136" s="2"/>
      <c r="S136" s="2"/>
      <c r="T136" s="2"/>
      <c r="X136" s="26"/>
    </row>
    <row r="137" spans="1:24" ht="20.100000000000001" customHeight="1" x14ac:dyDescent="0.3">
      <c r="A137" s="2"/>
      <c r="B137" s="2"/>
      <c r="C137" s="2"/>
      <c r="D137" s="2"/>
      <c r="E137" s="2"/>
      <c r="F137" s="2"/>
      <c r="G137" s="2"/>
      <c r="H137" s="2"/>
      <c r="I137" s="2"/>
      <c r="J137" s="2"/>
      <c r="K137" s="2"/>
      <c r="L137" s="2"/>
      <c r="M137" s="2"/>
      <c r="N137" s="25"/>
      <c r="O137" s="2"/>
      <c r="P137" s="2"/>
      <c r="Q137" s="2"/>
      <c r="R137" s="2"/>
      <c r="S137" s="2"/>
      <c r="T137" s="2"/>
      <c r="X137" s="26"/>
    </row>
    <row r="138" spans="1:24" ht="20.100000000000001" customHeight="1" x14ac:dyDescent="0.3">
      <c r="A138" s="2"/>
      <c r="B138" s="2"/>
      <c r="C138" s="2"/>
      <c r="D138" s="2"/>
      <c r="E138" s="2"/>
      <c r="F138" s="2"/>
      <c r="G138" s="2"/>
      <c r="H138" s="2"/>
      <c r="I138" s="2"/>
      <c r="J138" s="2"/>
      <c r="K138" s="2"/>
      <c r="L138" s="2"/>
      <c r="M138" s="2"/>
      <c r="N138" s="25"/>
      <c r="O138" s="2"/>
      <c r="P138" s="2"/>
      <c r="Q138" s="2"/>
      <c r="R138" s="2"/>
      <c r="S138" s="2"/>
      <c r="T138" s="2"/>
      <c r="X138" s="26"/>
    </row>
    <row r="139" spans="1:24" ht="20.100000000000001" customHeight="1" x14ac:dyDescent="0.3">
      <c r="A139" s="2"/>
      <c r="B139" s="2"/>
      <c r="C139" s="2"/>
      <c r="D139" s="2"/>
      <c r="E139" s="2"/>
      <c r="F139" s="2"/>
      <c r="G139" s="2"/>
      <c r="H139" s="2"/>
      <c r="I139" s="2"/>
      <c r="J139" s="2"/>
      <c r="K139" s="2"/>
      <c r="L139" s="2"/>
      <c r="M139" s="2"/>
      <c r="N139" s="25"/>
      <c r="O139" s="2"/>
      <c r="P139" s="2"/>
      <c r="Q139" s="2"/>
      <c r="R139" s="2"/>
      <c r="S139" s="2"/>
      <c r="T139" s="2"/>
      <c r="X139" s="26"/>
    </row>
    <row r="140" spans="1:24" ht="20.100000000000001" customHeight="1" x14ac:dyDescent="0.3">
      <c r="A140" s="2"/>
      <c r="B140" s="2"/>
      <c r="C140" s="2"/>
      <c r="D140" s="2"/>
      <c r="E140" s="2"/>
      <c r="F140" s="2"/>
      <c r="G140" s="2"/>
      <c r="H140" s="2"/>
      <c r="I140" s="2"/>
      <c r="J140" s="2"/>
      <c r="K140" s="2"/>
      <c r="L140" s="2"/>
      <c r="M140" s="2"/>
      <c r="N140" s="25"/>
      <c r="O140" s="2"/>
      <c r="P140" s="2"/>
      <c r="Q140" s="2"/>
      <c r="R140" s="2"/>
      <c r="S140" s="2"/>
      <c r="T140" s="2"/>
      <c r="X140" s="26"/>
    </row>
    <row r="141" spans="1:24" ht="20.100000000000001" customHeight="1" x14ac:dyDescent="0.3">
      <c r="A141" s="2"/>
      <c r="B141" s="2"/>
      <c r="C141" s="2"/>
      <c r="D141" s="2"/>
      <c r="E141" s="2"/>
      <c r="F141" s="2"/>
      <c r="G141" s="2"/>
      <c r="H141" s="2"/>
      <c r="I141" s="2"/>
      <c r="J141" s="2"/>
      <c r="K141" s="2"/>
      <c r="L141" s="2"/>
      <c r="M141" s="2"/>
      <c r="N141" s="25"/>
      <c r="O141" s="2"/>
      <c r="P141" s="2"/>
      <c r="Q141" s="2"/>
      <c r="R141" s="2"/>
      <c r="S141" s="2"/>
      <c r="T141" s="2"/>
      <c r="X141" s="26"/>
    </row>
    <row r="142" spans="1:24" ht="20.100000000000001" customHeight="1" x14ac:dyDescent="0.3">
      <c r="A142" s="2"/>
      <c r="B142" s="2"/>
      <c r="C142" s="2"/>
      <c r="D142" s="2"/>
      <c r="E142" s="2"/>
      <c r="F142" s="2"/>
      <c r="G142" s="2"/>
      <c r="H142" s="2"/>
      <c r="I142" s="2"/>
      <c r="J142" s="2"/>
      <c r="K142" s="2"/>
      <c r="L142" s="2"/>
      <c r="M142" s="2"/>
      <c r="N142" s="25"/>
      <c r="O142" s="2"/>
      <c r="P142" s="2"/>
      <c r="Q142" s="2"/>
      <c r="R142" s="2"/>
      <c r="S142" s="2"/>
      <c r="T142" s="2"/>
      <c r="X142" s="26"/>
    </row>
    <row r="143" spans="1:24" ht="20.100000000000001" customHeight="1" x14ac:dyDescent="0.3">
      <c r="A143" s="2"/>
      <c r="B143" s="2"/>
      <c r="C143" s="2"/>
      <c r="D143" s="2"/>
      <c r="E143" s="2"/>
      <c r="F143" s="2"/>
      <c r="G143" s="2"/>
      <c r="H143" s="2"/>
      <c r="I143" s="2"/>
      <c r="J143" s="2"/>
      <c r="K143" s="2"/>
      <c r="L143" s="2"/>
      <c r="M143" s="2"/>
      <c r="N143" s="25"/>
      <c r="O143" s="2"/>
      <c r="P143" s="2"/>
      <c r="Q143" s="2"/>
      <c r="R143" s="2"/>
      <c r="S143" s="2"/>
      <c r="T143" s="2"/>
      <c r="X143" s="26"/>
    </row>
    <row r="144" spans="1:24" ht="20.100000000000001" customHeight="1" x14ac:dyDescent="0.3">
      <c r="A144" s="2"/>
      <c r="B144" s="2"/>
      <c r="C144" s="2"/>
      <c r="D144" s="2"/>
      <c r="E144" s="2"/>
      <c r="F144" s="2"/>
      <c r="G144" s="2"/>
      <c r="H144" s="2"/>
      <c r="I144" s="2"/>
      <c r="J144" s="2"/>
      <c r="K144" s="2"/>
      <c r="L144" s="2"/>
      <c r="M144" s="2"/>
      <c r="N144" s="25"/>
      <c r="O144" s="2"/>
      <c r="P144" s="2"/>
      <c r="Q144" s="2"/>
      <c r="R144" s="2"/>
      <c r="S144" s="2"/>
      <c r="T144" s="2"/>
      <c r="X144" s="26"/>
    </row>
    <row r="145" spans="1:24" ht="20.100000000000001" customHeight="1" x14ac:dyDescent="0.3">
      <c r="A145" s="2"/>
      <c r="B145" s="2"/>
      <c r="C145" s="2"/>
      <c r="D145" s="2"/>
      <c r="E145" s="2"/>
      <c r="F145" s="2"/>
      <c r="G145" s="2"/>
      <c r="H145" s="2"/>
      <c r="I145" s="2"/>
      <c r="J145" s="2"/>
      <c r="K145" s="2"/>
      <c r="L145" s="2"/>
      <c r="M145" s="2"/>
      <c r="N145" s="25"/>
      <c r="O145" s="2"/>
      <c r="P145" s="2"/>
      <c r="Q145" s="2"/>
      <c r="R145" s="2"/>
      <c r="S145" s="2"/>
      <c r="T145" s="2"/>
      <c r="X145" s="26"/>
    </row>
    <row r="146" spans="1:24" ht="20.100000000000001" customHeight="1" x14ac:dyDescent="0.3">
      <c r="A146" s="2"/>
      <c r="B146" s="2"/>
      <c r="C146" s="2"/>
      <c r="D146" s="2"/>
      <c r="E146" s="2"/>
      <c r="F146" s="2"/>
      <c r="G146" s="2"/>
      <c r="H146" s="2"/>
      <c r="I146" s="2"/>
      <c r="J146" s="2"/>
      <c r="K146" s="2"/>
      <c r="L146" s="2"/>
      <c r="M146" s="2"/>
      <c r="N146" s="25"/>
      <c r="O146" s="2"/>
      <c r="P146" s="2"/>
      <c r="Q146" s="2"/>
      <c r="R146" s="2"/>
      <c r="S146" s="2"/>
      <c r="T146" s="2"/>
      <c r="X146" s="26"/>
    </row>
    <row r="147" spans="1:24" ht="20.100000000000001" customHeight="1" x14ac:dyDescent="0.3">
      <c r="A147" s="2"/>
      <c r="B147" s="2"/>
      <c r="C147" s="2"/>
      <c r="D147" s="2"/>
      <c r="E147" s="2"/>
      <c r="F147" s="2"/>
      <c r="G147" s="2"/>
      <c r="H147" s="2"/>
      <c r="I147" s="2"/>
      <c r="J147" s="2"/>
      <c r="K147" s="2"/>
      <c r="L147" s="2"/>
      <c r="M147" s="2"/>
      <c r="N147" s="25"/>
      <c r="O147" s="2"/>
      <c r="P147" s="2"/>
      <c r="Q147" s="2"/>
      <c r="R147" s="2"/>
      <c r="S147" s="2"/>
      <c r="T147" s="2"/>
      <c r="X147" s="26"/>
    </row>
    <row r="148" spans="1:24" ht="20.100000000000001" customHeight="1" x14ac:dyDescent="0.3">
      <c r="A148" s="2"/>
      <c r="B148" s="2"/>
      <c r="C148" s="2"/>
      <c r="D148" s="2"/>
      <c r="E148" s="2"/>
      <c r="F148" s="2"/>
      <c r="G148" s="2"/>
      <c r="H148" s="2"/>
      <c r="I148" s="2"/>
      <c r="J148" s="2"/>
      <c r="K148" s="2"/>
      <c r="L148" s="2"/>
      <c r="M148" s="2"/>
      <c r="N148" s="25"/>
      <c r="O148" s="2"/>
      <c r="P148" s="2"/>
      <c r="Q148" s="2"/>
      <c r="R148" s="2"/>
      <c r="S148" s="2"/>
      <c r="T148" s="2"/>
      <c r="X148" s="26"/>
    </row>
    <row r="149" spans="1:24" ht="20.100000000000001" customHeight="1" x14ac:dyDescent="0.3">
      <c r="A149" s="2"/>
      <c r="B149" s="2"/>
      <c r="C149" s="2"/>
      <c r="D149" s="2"/>
      <c r="E149" s="2"/>
      <c r="F149" s="2"/>
      <c r="G149" s="2"/>
      <c r="H149" s="2"/>
      <c r="I149" s="2"/>
      <c r="J149" s="2"/>
      <c r="K149" s="2"/>
      <c r="L149" s="2"/>
      <c r="M149" s="2"/>
      <c r="N149" s="25"/>
      <c r="O149" s="2"/>
      <c r="P149" s="2"/>
      <c r="Q149" s="2"/>
      <c r="R149" s="2"/>
      <c r="S149" s="2"/>
      <c r="T149" s="2"/>
      <c r="X149" s="26"/>
    </row>
    <row r="150" spans="1:24" ht="20.100000000000001" customHeight="1" x14ac:dyDescent="0.3">
      <c r="A150" s="2"/>
      <c r="B150" s="2"/>
      <c r="C150" s="2"/>
      <c r="D150" s="2"/>
      <c r="E150" s="2"/>
      <c r="F150" s="2"/>
      <c r="G150" s="2"/>
      <c r="H150" s="2"/>
      <c r="I150" s="2"/>
      <c r="J150" s="2"/>
      <c r="K150" s="2"/>
      <c r="L150" s="2"/>
      <c r="M150" s="2"/>
      <c r="N150" s="25"/>
      <c r="O150" s="2"/>
      <c r="P150" s="2"/>
      <c r="Q150" s="2"/>
      <c r="R150" s="2"/>
      <c r="S150" s="2"/>
      <c r="T150" s="2"/>
      <c r="X150" s="26"/>
    </row>
    <row r="151" spans="1:24" ht="20.100000000000001" customHeight="1" x14ac:dyDescent="0.3">
      <c r="A151" s="2"/>
      <c r="B151" s="2"/>
      <c r="C151" s="2"/>
      <c r="D151" s="2"/>
      <c r="E151" s="2"/>
      <c r="F151" s="2"/>
      <c r="G151" s="2"/>
      <c r="H151" s="2"/>
      <c r="I151" s="2"/>
      <c r="J151" s="2"/>
      <c r="K151" s="2"/>
      <c r="L151" s="2"/>
      <c r="M151" s="2"/>
      <c r="N151" s="25"/>
      <c r="O151" s="2"/>
      <c r="P151" s="2"/>
      <c r="Q151" s="2"/>
      <c r="R151" s="2"/>
      <c r="S151" s="2"/>
      <c r="T151" s="2"/>
      <c r="X151" s="26"/>
    </row>
    <row r="152" spans="1:24" ht="20.100000000000001" customHeight="1" x14ac:dyDescent="0.3">
      <c r="A152" s="2"/>
      <c r="B152" s="2"/>
      <c r="C152" s="2"/>
      <c r="D152" s="2"/>
      <c r="E152" s="2"/>
      <c r="F152" s="2"/>
      <c r="G152" s="2"/>
      <c r="H152" s="2"/>
      <c r="I152" s="2"/>
      <c r="J152" s="2"/>
      <c r="K152" s="2"/>
      <c r="L152" s="2"/>
      <c r="M152" s="2"/>
      <c r="N152" s="25"/>
      <c r="O152" s="2"/>
      <c r="P152" s="2"/>
      <c r="Q152" s="2"/>
      <c r="R152" s="2"/>
      <c r="S152" s="2"/>
      <c r="T152" s="2"/>
      <c r="X152" s="26"/>
    </row>
    <row r="153" spans="1:24" ht="20.100000000000001" customHeight="1" x14ac:dyDescent="0.3">
      <c r="A153" s="2"/>
      <c r="B153" s="2"/>
      <c r="C153" s="2"/>
      <c r="D153" s="2"/>
      <c r="E153" s="2"/>
      <c r="F153" s="2"/>
      <c r="G153" s="2"/>
      <c r="H153" s="2"/>
      <c r="I153" s="2"/>
      <c r="J153" s="2"/>
      <c r="K153" s="2"/>
      <c r="L153" s="2"/>
      <c r="M153" s="2"/>
      <c r="N153" s="25"/>
      <c r="O153" s="2"/>
      <c r="P153" s="2"/>
      <c r="Q153" s="2"/>
      <c r="R153" s="2"/>
      <c r="S153" s="2"/>
      <c r="T153" s="2"/>
      <c r="X153" s="26"/>
    </row>
    <row r="154" spans="1:24" ht="20.100000000000001" customHeight="1" x14ac:dyDescent="0.3">
      <c r="A154" s="2"/>
      <c r="B154" s="2"/>
      <c r="C154" s="2"/>
      <c r="D154" s="2"/>
      <c r="E154" s="2"/>
      <c r="F154" s="2"/>
      <c r="G154" s="2"/>
      <c r="H154" s="2"/>
      <c r="I154" s="2"/>
      <c r="J154" s="2"/>
      <c r="K154" s="2"/>
      <c r="L154" s="2"/>
      <c r="M154" s="2"/>
      <c r="N154" s="25"/>
      <c r="O154" s="2"/>
      <c r="P154" s="2"/>
      <c r="Q154" s="2"/>
      <c r="R154" s="2"/>
      <c r="S154" s="2"/>
      <c r="T154" s="2"/>
      <c r="X154" s="26"/>
    </row>
    <row r="155" spans="1:24" ht="20.100000000000001" customHeight="1" x14ac:dyDescent="0.3">
      <c r="A155" s="2"/>
      <c r="B155" s="2"/>
      <c r="C155" s="2"/>
      <c r="D155" s="2"/>
      <c r="E155" s="2"/>
      <c r="F155" s="2"/>
      <c r="G155" s="2"/>
      <c r="H155" s="2"/>
      <c r="I155" s="2"/>
      <c r="J155" s="2"/>
      <c r="K155" s="2"/>
      <c r="L155" s="2"/>
      <c r="M155" s="2"/>
      <c r="N155" s="25"/>
      <c r="O155" s="2"/>
      <c r="P155" s="2"/>
      <c r="Q155" s="2"/>
      <c r="R155" s="2"/>
      <c r="S155" s="2"/>
      <c r="T155" s="2"/>
      <c r="X155" s="26"/>
    </row>
    <row r="156" spans="1:24" ht="20.100000000000001" customHeight="1" x14ac:dyDescent="0.3">
      <c r="A156" s="2"/>
      <c r="B156" s="2"/>
      <c r="C156" s="2"/>
      <c r="D156" s="2"/>
      <c r="E156" s="2"/>
      <c r="F156" s="2"/>
      <c r="G156" s="2"/>
      <c r="H156" s="2"/>
      <c r="I156" s="2"/>
      <c r="J156" s="2"/>
      <c r="K156" s="2"/>
      <c r="L156" s="2"/>
      <c r="M156" s="2"/>
      <c r="N156" s="25"/>
      <c r="O156" s="2"/>
      <c r="P156" s="2"/>
      <c r="Q156" s="2"/>
      <c r="R156" s="2"/>
      <c r="S156" s="2"/>
      <c r="T156" s="2"/>
      <c r="X156" s="26"/>
    </row>
    <row r="157" spans="1:24" ht="20.100000000000001" customHeight="1" x14ac:dyDescent="0.3">
      <c r="A157" s="2"/>
      <c r="B157" s="2"/>
      <c r="C157" s="2"/>
      <c r="D157" s="2"/>
      <c r="E157" s="2"/>
      <c r="F157" s="2"/>
      <c r="G157" s="2"/>
      <c r="H157" s="2"/>
      <c r="I157" s="2"/>
      <c r="J157" s="2"/>
      <c r="K157" s="2"/>
      <c r="L157" s="2"/>
      <c r="M157" s="2"/>
      <c r="N157" s="25"/>
      <c r="O157" s="2"/>
      <c r="P157" s="2"/>
      <c r="Q157" s="2"/>
      <c r="R157" s="2"/>
      <c r="S157" s="2"/>
      <c r="T157" s="2"/>
      <c r="X157" s="26"/>
    </row>
    <row r="158" spans="1:24" ht="20.100000000000001" customHeight="1" x14ac:dyDescent="0.3">
      <c r="A158" s="2"/>
      <c r="B158" s="2"/>
      <c r="C158" s="2"/>
      <c r="D158" s="2"/>
      <c r="E158" s="2"/>
      <c r="F158" s="2"/>
      <c r="G158" s="2"/>
      <c r="H158" s="2"/>
      <c r="I158" s="2"/>
      <c r="J158" s="2"/>
      <c r="K158" s="2"/>
      <c r="L158" s="2"/>
      <c r="M158" s="2"/>
      <c r="N158" s="25"/>
      <c r="O158" s="2"/>
      <c r="P158" s="2"/>
      <c r="Q158" s="2"/>
      <c r="R158" s="2"/>
      <c r="S158" s="2"/>
      <c r="T158" s="2"/>
      <c r="X158" s="26"/>
    </row>
    <row r="159" spans="1:24" ht="20.100000000000001" customHeight="1" x14ac:dyDescent="0.3">
      <c r="A159" s="2"/>
      <c r="B159" s="2"/>
      <c r="C159" s="2"/>
      <c r="D159" s="2"/>
      <c r="E159" s="2"/>
      <c r="F159" s="2"/>
      <c r="G159" s="2"/>
      <c r="H159" s="2"/>
      <c r="I159" s="2"/>
      <c r="J159" s="2"/>
      <c r="K159" s="2"/>
      <c r="L159" s="2"/>
      <c r="M159" s="2"/>
      <c r="N159" s="25"/>
      <c r="O159" s="2"/>
      <c r="P159" s="2"/>
      <c r="Q159" s="2"/>
      <c r="R159" s="2"/>
      <c r="S159" s="2"/>
      <c r="T159" s="2"/>
      <c r="X159" s="26"/>
    </row>
    <row r="160" spans="1:24" ht="20.100000000000001" customHeight="1" x14ac:dyDescent="0.3">
      <c r="A160" s="2"/>
      <c r="B160" s="2"/>
      <c r="C160" s="2"/>
      <c r="D160" s="2"/>
      <c r="E160" s="2"/>
      <c r="F160" s="2"/>
      <c r="G160" s="2"/>
      <c r="H160" s="2"/>
      <c r="I160" s="2"/>
      <c r="J160" s="2"/>
      <c r="K160" s="2"/>
      <c r="L160" s="2"/>
      <c r="M160" s="2"/>
      <c r="N160" s="25"/>
      <c r="O160" s="2"/>
      <c r="P160" s="2"/>
      <c r="Q160" s="2"/>
      <c r="R160" s="2"/>
      <c r="S160" s="2"/>
      <c r="T160" s="2"/>
      <c r="X160" s="26"/>
    </row>
    <row r="161" spans="1:24" ht="20.100000000000001" customHeight="1" x14ac:dyDescent="0.3">
      <c r="A161" s="2"/>
      <c r="B161" s="2"/>
      <c r="C161" s="2"/>
      <c r="D161" s="2"/>
      <c r="E161" s="2"/>
      <c r="F161" s="2"/>
      <c r="G161" s="2"/>
      <c r="H161" s="2"/>
      <c r="I161" s="2"/>
      <c r="J161" s="2"/>
      <c r="K161" s="2"/>
      <c r="L161" s="2"/>
      <c r="M161" s="2"/>
      <c r="N161" s="25"/>
      <c r="O161" s="2"/>
      <c r="P161" s="2"/>
      <c r="Q161" s="2"/>
      <c r="R161" s="2"/>
      <c r="S161" s="2"/>
      <c r="T161" s="2"/>
      <c r="X161" s="26"/>
    </row>
    <row r="162" spans="1:24" ht="20.100000000000001" customHeight="1" x14ac:dyDescent="0.3">
      <c r="A162" s="2"/>
      <c r="B162" s="2"/>
      <c r="C162" s="2"/>
      <c r="D162" s="2"/>
      <c r="E162" s="2"/>
      <c r="F162" s="2"/>
      <c r="G162" s="2"/>
      <c r="H162" s="2"/>
      <c r="I162" s="2"/>
      <c r="J162" s="2"/>
      <c r="K162" s="2"/>
      <c r="L162" s="2"/>
      <c r="M162" s="2"/>
      <c r="N162" s="25"/>
      <c r="O162" s="2"/>
      <c r="P162" s="2"/>
      <c r="Q162" s="2"/>
      <c r="R162" s="2"/>
      <c r="S162" s="2"/>
      <c r="T162" s="2"/>
      <c r="X162" s="26"/>
    </row>
    <row r="163" spans="1:24" ht="20.100000000000001" customHeight="1" x14ac:dyDescent="0.3">
      <c r="A163" s="2"/>
      <c r="B163" s="2"/>
      <c r="C163" s="2"/>
      <c r="D163" s="2"/>
      <c r="E163" s="2"/>
      <c r="F163" s="2"/>
      <c r="G163" s="2"/>
      <c r="H163" s="2"/>
      <c r="I163" s="2"/>
      <c r="J163" s="2"/>
      <c r="K163" s="2"/>
      <c r="L163" s="2"/>
      <c r="M163" s="2"/>
      <c r="N163" s="25"/>
      <c r="O163" s="2"/>
      <c r="P163" s="2"/>
      <c r="Q163" s="2"/>
      <c r="R163" s="2"/>
      <c r="S163" s="2"/>
      <c r="T163" s="2"/>
      <c r="X163" s="26"/>
    </row>
    <row r="164" spans="1:24" ht="20.100000000000001" customHeight="1" x14ac:dyDescent="0.3">
      <c r="A164" s="2"/>
      <c r="B164" s="2"/>
      <c r="C164" s="2"/>
      <c r="D164" s="2"/>
      <c r="E164" s="2"/>
      <c r="F164" s="2"/>
      <c r="G164" s="2"/>
      <c r="H164" s="2"/>
      <c r="I164" s="2"/>
      <c r="J164" s="2"/>
      <c r="K164" s="2"/>
      <c r="L164" s="2"/>
      <c r="M164" s="2"/>
      <c r="N164" s="25"/>
      <c r="O164" s="2"/>
      <c r="P164" s="2"/>
      <c r="Q164" s="2"/>
      <c r="R164" s="2"/>
      <c r="S164" s="2"/>
      <c r="T164" s="2"/>
      <c r="X164" s="26"/>
    </row>
    <row r="165" spans="1:24" ht="20.100000000000001" customHeight="1" x14ac:dyDescent="0.3">
      <c r="A165" s="2"/>
      <c r="B165" s="2"/>
      <c r="C165" s="2"/>
      <c r="D165" s="2"/>
      <c r="E165" s="2"/>
      <c r="F165" s="2"/>
      <c r="G165" s="2"/>
      <c r="H165" s="2"/>
      <c r="I165" s="2"/>
      <c r="J165" s="2"/>
      <c r="K165" s="2"/>
      <c r="L165" s="2"/>
      <c r="M165" s="2"/>
      <c r="N165" s="25"/>
      <c r="O165" s="2"/>
      <c r="P165" s="2"/>
      <c r="Q165" s="2"/>
      <c r="R165" s="2"/>
      <c r="S165" s="2"/>
      <c r="T165" s="2"/>
      <c r="X165" s="26"/>
    </row>
    <row r="166" spans="1:24" ht="20.100000000000001" customHeight="1" x14ac:dyDescent="0.3">
      <c r="A166" s="2"/>
      <c r="B166" s="2"/>
      <c r="C166" s="2"/>
      <c r="D166" s="2"/>
      <c r="E166" s="2"/>
      <c r="F166" s="2"/>
      <c r="G166" s="2"/>
      <c r="H166" s="2"/>
      <c r="I166" s="2"/>
      <c r="J166" s="2"/>
      <c r="K166" s="2"/>
      <c r="L166" s="2"/>
      <c r="M166" s="2"/>
      <c r="N166" s="25"/>
      <c r="O166" s="2"/>
      <c r="P166" s="2"/>
      <c r="Q166" s="2"/>
      <c r="R166" s="2"/>
      <c r="S166" s="2"/>
      <c r="T166" s="2"/>
      <c r="X166" s="26"/>
    </row>
    <row r="167" spans="1:24" ht="20.100000000000001" customHeight="1" x14ac:dyDescent="0.3">
      <c r="A167" s="2"/>
      <c r="B167" s="2"/>
      <c r="C167" s="2"/>
      <c r="D167" s="2"/>
      <c r="E167" s="2"/>
      <c r="F167" s="2"/>
      <c r="G167" s="2"/>
      <c r="H167" s="2"/>
      <c r="I167" s="2"/>
      <c r="J167" s="2"/>
      <c r="K167" s="2"/>
      <c r="L167" s="2"/>
      <c r="M167" s="2"/>
      <c r="N167" s="25"/>
      <c r="O167" s="2"/>
      <c r="P167" s="2"/>
      <c r="Q167" s="2"/>
      <c r="R167" s="2"/>
      <c r="S167" s="2"/>
      <c r="T167" s="2"/>
      <c r="X167" s="26"/>
    </row>
    <row r="168" spans="1:24" ht="20.100000000000001" customHeight="1" x14ac:dyDescent="0.3">
      <c r="A168" s="2"/>
      <c r="B168" s="2"/>
      <c r="C168" s="2"/>
      <c r="D168" s="2"/>
      <c r="E168" s="2"/>
      <c r="F168" s="2"/>
      <c r="G168" s="2"/>
      <c r="H168" s="2"/>
      <c r="I168" s="2"/>
      <c r="J168" s="2"/>
      <c r="K168" s="2"/>
      <c r="L168" s="2"/>
      <c r="M168" s="2"/>
      <c r="N168" s="25"/>
      <c r="O168" s="2"/>
      <c r="P168" s="2"/>
      <c r="Q168" s="2"/>
      <c r="R168" s="2"/>
      <c r="S168" s="2"/>
      <c r="T168" s="2"/>
      <c r="X168" s="26"/>
    </row>
    <row r="169" spans="1:24" ht="20.100000000000001" customHeight="1" x14ac:dyDescent="0.3">
      <c r="A169" s="2"/>
      <c r="B169" s="2"/>
      <c r="C169" s="2"/>
      <c r="D169" s="2"/>
      <c r="E169" s="2"/>
      <c r="F169" s="2"/>
      <c r="G169" s="2"/>
      <c r="H169" s="2"/>
      <c r="I169" s="2"/>
      <c r="J169" s="2"/>
      <c r="K169" s="2"/>
      <c r="L169" s="2"/>
      <c r="M169" s="2"/>
      <c r="N169" s="25"/>
      <c r="O169" s="2"/>
      <c r="P169" s="2"/>
      <c r="Q169" s="2"/>
      <c r="R169" s="2"/>
      <c r="S169" s="2"/>
      <c r="T169" s="2"/>
      <c r="X169" s="26"/>
    </row>
    <row r="170" spans="1:24" ht="20.100000000000001" customHeight="1" x14ac:dyDescent="0.3">
      <c r="A170" s="2"/>
      <c r="B170" s="2"/>
      <c r="C170" s="2"/>
      <c r="D170" s="2"/>
      <c r="E170" s="2"/>
      <c r="F170" s="2"/>
      <c r="G170" s="2"/>
      <c r="H170" s="2"/>
      <c r="I170" s="2"/>
      <c r="J170" s="2"/>
      <c r="K170" s="2"/>
      <c r="L170" s="2"/>
      <c r="M170" s="2"/>
      <c r="N170" s="25"/>
      <c r="O170" s="2"/>
      <c r="P170" s="2"/>
      <c r="Q170" s="2"/>
      <c r="R170" s="2"/>
      <c r="S170" s="2"/>
      <c r="T170" s="2"/>
      <c r="X170" s="26"/>
    </row>
    <row r="171" spans="1:24" ht="20.100000000000001" customHeight="1" x14ac:dyDescent="0.3">
      <c r="A171" s="2"/>
      <c r="B171" s="2"/>
      <c r="C171" s="2"/>
      <c r="D171" s="2"/>
      <c r="E171" s="2"/>
      <c r="F171" s="2"/>
      <c r="G171" s="2"/>
      <c r="H171" s="2"/>
      <c r="I171" s="2"/>
      <c r="J171" s="2"/>
      <c r="K171" s="2"/>
      <c r="L171" s="2"/>
      <c r="M171" s="2"/>
      <c r="N171" s="25"/>
      <c r="O171" s="2"/>
      <c r="P171" s="2"/>
      <c r="Q171" s="2"/>
      <c r="R171" s="2"/>
      <c r="S171" s="2"/>
      <c r="T171" s="2"/>
      <c r="X171" s="26"/>
    </row>
    <row r="172" spans="1:24" ht="20.100000000000001" customHeight="1" x14ac:dyDescent="0.3">
      <c r="A172" s="2"/>
      <c r="B172" s="2"/>
      <c r="C172" s="2"/>
      <c r="D172" s="2"/>
      <c r="E172" s="2"/>
      <c r="F172" s="2"/>
      <c r="G172" s="2"/>
      <c r="H172" s="2"/>
      <c r="I172" s="2"/>
      <c r="J172" s="2"/>
      <c r="K172" s="2"/>
      <c r="L172" s="2"/>
      <c r="M172" s="2"/>
      <c r="N172" s="25"/>
      <c r="O172" s="2"/>
      <c r="P172" s="2"/>
      <c r="Q172" s="2"/>
      <c r="R172" s="2"/>
      <c r="S172" s="2"/>
      <c r="T172" s="2"/>
      <c r="X172" s="26"/>
    </row>
    <row r="173" spans="1:24" ht="20.100000000000001" customHeight="1" x14ac:dyDescent="0.3">
      <c r="A173" s="2"/>
      <c r="B173" s="2"/>
      <c r="C173" s="2"/>
      <c r="D173" s="2"/>
      <c r="E173" s="2"/>
      <c r="F173" s="2"/>
      <c r="G173" s="2"/>
      <c r="H173" s="2"/>
      <c r="I173" s="2"/>
      <c r="J173" s="2"/>
      <c r="K173" s="2"/>
      <c r="L173" s="2"/>
      <c r="M173" s="2"/>
      <c r="N173" s="25"/>
      <c r="O173" s="2"/>
      <c r="P173" s="2"/>
      <c r="Q173" s="2"/>
      <c r="R173" s="2"/>
      <c r="S173" s="2"/>
      <c r="T173" s="2"/>
      <c r="X173" s="26"/>
    </row>
    <row r="174" spans="1:24" ht="20.100000000000001" customHeight="1" x14ac:dyDescent="0.3">
      <c r="A174" s="2"/>
      <c r="B174" s="2"/>
      <c r="C174" s="2"/>
      <c r="D174" s="2"/>
      <c r="E174" s="2"/>
      <c r="F174" s="2"/>
      <c r="G174" s="2"/>
      <c r="H174" s="2"/>
      <c r="I174" s="2"/>
      <c r="J174" s="2"/>
      <c r="K174" s="2"/>
      <c r="L174" s="2"/>
      <c r="M174" s="2"/>
      <c r="N174" s="25"/>
      <c r="O174" s="2"/>
      <c r="P174" s="2"/>
      <c r="Q174" s="2"/>
      <c r="R174" s="2"/>
      <c r="S174" s="2"/>
      <c r="T174" s="2"/>
      <c r="X174" s="26"/>
    </row>
    <row r="175" spans="1:24" ht="20.100000000000001" customHeight="1" x14ac:dyDescent="0.3">
      <c r="A175" s="2"/>
      <c r="B175" s="2"/>
      <c r="C175" s="2"/>
      <c r="D175" s="2"/>
      <c r="E175" s="2"/>
      <c r="F175" s="2"/>
      <c r="G175" s="2"/>
      <c r="H175" s="2"/>
      <c r="I175" s="2"/>
      <c r="J175" s="2"/>
      <c r="K175" s="2"/>
      <c r="L175" s="2"/>
      <c r="M175" s="2"/>
      <c r="N175" s="25"/>
      <c r="O175" s="2"/>
      <c r="P175" s="2"/>
      <c r="Q175" s="2"/>
      <c r="R175" s="2"/>
      <c r="S175" s="2"/>
      <c r="T175" s="2"/>
      <c r="X175" s="26"/>
    </row>
    <row r="176" spans="1:24" ht="20.100000000000001" customHeight="1" x14ac:dyDescent="0.3">
      <c r="A176" s="2"/>
      <c r="B176" s="2"/>
      <c r="C176" s="2"/>
      <c r="D176" s="2"/>
      <c r="E176" s="2"/>
      <c r="F176" s="2"/>
      <c r="G176" s="2"/>
      <c r="H176" s="2"/>
      <c r="I176" s="2"/>
      <c r="J176" s="2"/>
      <c r="K176" s="2"/>
      <c r="L176" s="2"/>
      <c r="M176" s="2"/>
      <c r="N176" s="25"/>
      <c r="O176" s="2"/>
      <c r="P176" s="2"/>
      <c r="Q176" s="2"/>
      <c r="R176" s="2"/>
      <c r="S176" s="2"/>
      <c r="T176" s="2"/>
      <c r="X176" s="26"/>
    </row>
    <row r="177" spans="1:24" ht="20.100000000000001" customHeight="1" x14ac:dyDescent="0.3">
      <c r="A177" s="2"/>
      <c r="B177" s="2"/>
      <c r="C177" s="2"/>
      <c r="D177" s="2"/>
      <c r="E177" s="2"/>
      <c r="F177" s="2"/>
      <c r="G177" s="2"/>
      <c r="H177" s="2"/>
      <c r="I177" s="2"/>
      <c r="J177" s="2"/>
      <c r="K177" s="2"/>
      <c r="L177" s="2"/>
      <c r="M177" s="2"/>
      <c r="N177" s="25"/>
      <c r="O177" s="2"/>
      <c r="P177" s="2"/>
      <c r="Q177" s="2"/>
      <c r="R177" s="2"/>
      <c r="S177" s="2"/>
      <c r="T177" s="2"/>
      <c r="X177" s="26"/>
    </row>
    <row r="178" spans="1:24" ht="20.100000000000001" customHeight="1" x14ac:dyDescent="0.3">
      <c r="A178" s="2"/>
      <c r="B178" s="2"/>
      <c r="C178" s="2"/>
      <c r="D178" s="2"/>
      <c r="E178" s="2"/>
      <c r="F178" s="2"/>
      <c r="G178" s="2"/>
      <c r="H178" s="2"/>
      <c r="I178" s="2"/>
      <c r="J178" s="2"/>
      <c r="K178" s="2"/>
      <c r="L178" s="2"/>
      <c r="M178" s="2"/>
      <c r="N178" s="25"/>
      <c r="O178" s="2"/>
      <c r="P178" s="2"/>
      <c r="Q178" s="2"/>
      <c r="R178" s="2"/>
      <c r="S178" s="2"/>
      <c r="T178" s="2"/>
      <c r="X178" s="26"/>
    </row>
    <row r="179" spans="1:24" ht="20.100000000000001" customHeight="1" x14ac:dyDescent="0.3">
      <c r="A179" s="2"/>
      <c r="B179" s="2"/>
      <c r="C179" s="2"/>
      <c r="D179" s="2"/>
      <c r="E179" s="2"/>
      <c r="F179" s="2"/>
      <c r="G179" s="2"/>
      <c r="H179" s="2"/>
      <c r="I179" s="2"/>
      <c r="J179" s="2"/>
      <c r="K179" s="2"/>
      <c r="L179" s="2"/>
      <c r="M179" s="2"/>
      <c r="N179" s="25"/>
      <c r="O179" s="2"/>
      <c r="P179" s="2"/>
      <c r="Q179" s="2"/>
      <c r="R179" s="2"/>
      <c r="S179" s="2"/>
      <c r="T179" s="2"/>
      <c r="X179" s="26"/>
    </row>
    <row r="180" spans="1:24" ht="20.100000000000001" customHeight="1" x14ac:dyDescent="0.3">
      <c r="A180" s="2"/>
      <c r="B180" s="2"/>
      <c r="C180" s="2"/>
      <c r="D180" s="2"/>
      <c r="E180" s="2"/>
      <c r="F180" s="2"/>
      <c r="G180" s="2"/>
      <c r="H180" s="2"/>
      <c r="I180" s="2"/>
      <c r="J180" s="2"/>
      <c r="K180" s="2"/>
      <c r="L180" s="2"/>
      <c r="M180" s="2"/>
      <c r="N180" s="25"/>
      <c r="O180" s="2"/>
      <c r="P180" s="2"/>
      <c r="Q180" s="2"/>
      <c r="R180" s="2"/>
      <c r="S180" s="2"/>
      <c r="T180" s="2"/>
      <c r="X180" s="26"/>
    </row>
    <row r="181" spans="1:24" ht="20.100000000000001" customHeight="1" x14ac:dyDescent="0.3">
      <c r="A181" s="2"/>
      <c r="B181" s="2"/>
      <c r="C181" s="2"/>
      <c r="D181" s="2"/>
      <c r="E181" s="2"/>
      <c r="F181" s="2"/>
      <c r="G181" s="2"/>
      <c r="H181" s="2"/>
      <c r="I181" s="2"/>
      <c r="J181" s="2"/>
      <c r="K181" s="2"/>
      <c r="L181" s="2"/>
      <c r="M181" s="2"/>
      <c r="N181" s="25"/>
      <c r="O181" s="2"/>
      <c r="P181" s="2"/>
      <c r="Q181" s="2"/>
      <c r="R181" s="2"/>
      <c r="S181" s="2"/>
      <c r="T181" s="2"/>
      <c r="X181" s="26"/>
    </row>
    <row r="182" spans="1:24" ht="20.100000000000001" customHeight="1" x14ac:dyDescent="0.3">
      <c r="A182" s="2"/>
      <c r="B182" s="2"/>
      <c r="C182" s="2"/>
      <c r="D182" s="2"/>
      <c r="E182" s="2"/>
      <c r="F182" s="2"/>
      <c r="G182" s="2"/>
      <c r="H182" s="2"/>
      <c r="I182" s="2"/>
      <c r="J182" s="2"/>
      <c r="K182" s="2"/>
      <c r="L182" s="2"/>
      <c r="M182" s="2"/>
      <c r="N182" s="25"/>
      <c r="O182" s="2"/>
      <c r="P182" s="2"/>
      <c r="Q182" s="2"/>
      <c r="R182" s="2"/>
      <c r="S182" s="2"/>
      <c r="T182" s="2"/>
      <c r="X182" s="26"/>
    </row>
    <row r="183" spans="1:24" ht="20.100000000000001" customHeight="1" x14ac:dyDescent="0.3">
      <c r="A183" s="2"/>
      <c r="B183" s="2"/>
      <c r="C183" s="2"/>
      <c r="D183" s="2"/>
      <c r="E183" s="2"/>
      <c r="F183" s="2"/>
      <c r="G183" s="2"/>
      <c r="H183" s="2"/>
      <c r="I183" s="2"/>
      <c r="J183" s="2"/>
      <c r="K183" s="2"/>
      <c r="L183" s="2"/>
      <c r="M183" s="2"/>
      <c r="N183" s="25"/>
      <c r="O183" s="2"/>
      <c r="P183" s="2"/>
      <c r="Q183" s="2"/>
      <c r="R183" s="2"/>
      <c r="S183" s="2"/>
      <c r="T183" s="2"/>
      <c r="X183" s="26"/>
    </row>
    <row r="184" spans="1:24" ht="20.100000000000001" customHeight="1" x14ac:dyDescent="0.3">
      <c r="A184" s="2"/>
      <c r="B184" s="2"/>
      <c r="C184" s="2"/>
      <c r="D184" s="2"/>
      <c r="E184" s="2"/>
      <c r="F184" s="2"/>
      <c r="G184" s="2"/>
      <c r="H184" s="2"/>
      <c r="I184" s="2"/>
      <c r="J184" s="2"/>
      <c r="K184" s="2"/>
      <c r="L184" s="2"/>
      <c r="M184" s="2"/>
      <c r="N184" s="25"/>
      <c r="O184" s="2"/>
      <c r="P184" s="2"/>
      <c r="Q184" s="2"/>
      <c r="R184" s="2"/>
      <c r="S184" s="2"/>
      <c r="T184" s="2"/>
      <c r="X184" s="26"/>
    </row>
    <row r="185" spans="1:24" ht="20.100000000000001" customHeight="1" x14ac:dyDescent="0.3">
      <c r="A185" s="2"/>
      <c r="B185" s="2"/>
      <c r="C185" s="2"/>
      <c r="D185" s="2"/>
      <c r="E185" s="2"/>
      <c r="F185" s="2"/>
      <c r="G185" s="2"/>
      <c r="H185" s="2"/>
      <c r="I185" s="2"/>
      <c r="J185" s="2"/>
      <c r="K185" s="2"/>
      <c r="L185" s="2"/>
      <c r="M185" s="2"/>
      <c r="N185" s="25"/>
      <c r="O185" s="2"/>
      <c r="P185" s="2"/>
      <c r="Q185" s="2"/>
      <c r="R185" s="2"/>
      <c r="S185" s="2"/>
      <c r="T185" s="2"/>
      <c r="X185" s="26"/>
    </row>
    <row r="186" spans="1:24" ht="20.100000000000001" customHeight="1" x14ac:dyDescent="0.3">
      <c r="A186" s="2"/>
      <c r="B186" s="2"/>
      <c r="C186" s="2"/>
      <c r="D186" s="2"/>
      <c r="E186" s="2"/>
      <c r="F186" s="2"/>
      <c r="G186" s="2"/>
      <c r="H186" s="2"/>
      <c r="I186" s="2"/>
      <c r="J186" s="2"/>
      <c r="K186" s="2"/>
      <c r="L186" s="2"/>
      <c r="M186" s="2"/>
      <c r="N186" s="25"/>
      <c r="O186" s="2"/>
      <c r="P186" s="2"/>
      <c r="Q186" s="2"/>
      <c r="R186" s="2"/>
      <c r="S186" s="2"/>
      <c r="T186" s="2"/>
      <c r="X186" s="26"/>
    </row>
    <row r="187" spans="1:24" ht="20.100000000000001" customHeight="1" x14ac:dyDescent="0.3">
      <c r="A187" s="2"/>
      <c r="B187" s="2"/>
      <c r="C187" s="2"/>
      <c r="D187" s="2"/>
      <c r="E187" s="2"/>
      <c r="F187" s="2"/>
      <c r="G187" s="2"/>
      <c r="H187" s="2"/>
      <c r="I187" s="2"/>
      <c r="J187" s="2"/>
      <c r="K187" s="2"/>
      <c r="L187" s="2"/>
      <c r="M187" s="2"/>
      <c r="N187" s="25"/>
      <c r="O187" s="2"/>
      <c r="P187" s="2"/>
      <c r="Q187" s="2"/>
      <c r="R187" s="2"/>
      <c r="S187" s="2"/>
      <c r="T187" s="2"/>
      <c r="X187" s="26"/>
    </row>
    <row r="188" spans="1:24" ht="20.100000000000001" customHeight="1" x14ac:dyDescent="0.3">
      <c r="A188" s="2"/>
      <c r="B188" s="2"/>
      <c r="C188" s="2"/>
      <c r="D188" s="2"/>
      <c r="E188" s="2"/>
      <c r="F188" s="2"/>
      <c r="G188" s="2"/>
      <c r="H188" s="2"/>
      <c r="I188" s="2"/>
      <c r="J188" s="2"/>
      <c r="K188" s="2"/>
      <c r="L188" s="2"/>
      <c r="M188" s="2"/>
      <c r="N188" s="25"/>
      <c r="O188" s="2"/>
      <c r="P188" s="2"/>
      <c r="Q188" s="2"/>
      <c r="R188" s="2"/>
      <c r="S188" s="2"/>
      <c r="T188" s="2"/>
      <c r="X188" s="26"/>
    </row>
    <row r="189" spans="1:24" ht="20.100000000000001" customHeight="1" x14ac:dyDescent="0.3">
      <c r="A189" s="2"/>
      <c r="B189" s="2"/>
      <c r="C189" s="2"/>
      <c r="D189" s="2"/>
      <c r="E189" s="2"/>
      <c r="F189" s="2"/>
      <c r="G189" s="2"/>
      <c r="H189" s="2"/>
      <c r="I189" s="2"/>
      <c r="J189" s="2"/>
      <c r="K189" s="2"/>
      <c r="L189" s="2"/>
      <c r="M189" s="2"/>
      <c r="N189" s="25"/>
      <c r="O189" s="2"/>
      <c r="P189" s="2"/>
      <c r="Q189" s="2"/>
      <c r="R189" s="2"/>
      <c r="S189" s="2"/>
      <c r="T189" s="2"/>
      <c r="X189" s="26"/>
    </row>
    <row r="190" spans="1:24" ht="20.100000000000001" customHeight="1" x14ac:dyDescent="0.3">
      <c r="A190" s="2"/>
      <c r="B190" s="2"/>
      <c r="C190" s="2"/>
      <c r="D190" s="2"/>
      <c r="E190" s="2"/>
      <c r="F190" s="2"/>
      <c r="G190" s="2"/>
      <c r="H190" s="2"/>
      <c r="I190" s="2"/>
      <c r="J190" s="2"/>
      <c r="K190" s="2"/>
      <c r="L190" s="2"/>
      <c r="M190" s="2"/>
      <c r="N190" s="25"/>
      <c r="O190" s="2"/>
      <c r="P190" s="2"/>
      <c r="Q190" s="2"/>
      <c r="R190" s="2"/>
      <c r="S190" s="2"/>
      <c r="T190" s="2"/>
      <c r="X190" s="26"/>
    </row>
    <row r="191" spans="1:24" ht="20.100000000000001" customHeight="1" x14ac:dyDescent="0.3">
      <c r="A191" s="2"/>
      <c r="B191" s="2"/>
      <c r="C191" s="2"/>
      <c r="D191" s="2"/>
      <c r="E191" s="2"/>
      <c r="F191" s="2"/>
      <c r="G191" s="2"/>
      <c r="H191" s="2"/>
      <c r="I191" s="2"/>
      <c r="J191" s="2"/>
      <c r="K191" s="2"/>
      <c r="L191" s="2"/>
      <c r="M191" s="2"/>
      <c r="N191" s="25"/>
      <c r="O191" s="2"/>
      <c r="P191" s="2"/>
      <c r="Q191" s="2"/>
      <c r="R191" s="2"/>
      <c r="S191" s="2"/>
      <c r="T191" s="2"/>
      <c r="X191" s="26"/>
    </row>
    <row r="192" spans="1:24" ht="20.100000000000001" customHeight="1" x14ac:dyDescent="0.3">
      <c r="A192" s="2"/>
      <c r="B192" s="2"/>
      <c r="C192" s="2"/>
      <c r="D192" s="2"/>
      <c r="E192" s="2"/>
      <c r="F192" s="2"/>
      <c r="G192" s="2"/>
      <c r="H192" s="2"/>
      <c r="I192" s="2"/>
      <c r="J192" s="2"/>
      <c r="K192" s="2"/>
      <c r="L192" s="2"/>
      <c r="M192" s="2"/>
      <c r="N192" s="25"/>
      <c r="O192" s="2"/>
      <c r="P192" s="2"/>
      <c r="Q192" s="2"/>
      <c r="R192" s="2"/>
      <c r="S192" s="2"/>
      <c r="T192" s="2"/>
      <c r="X192" s="26"/>
    </row>
    <row r="193" spans="1:24" ht="20.100000000000001" customHeight="1" x14ac:dyDescent="0.3">
      <c r="A193" s="2"/>
      <c r="B193" s="2"/>
      <c r="C193" s="2"/>
      <c r="D193" s="2"/>
      <c r="E193" s="2"/>
      <c r="F193" s="2"/>
      <c r="G193" s="2"/>
      <c r="H193" s="2"/>
      <c r="I193" s="2"/>
      <c r="J193" s="2"/>
      <c r="K193" s="2"/>
      <c r="L193" s="2"/>
      <c r="M193" s="2"/>
      <c r="N193" s="25"/>
      <c r="O193" s="2"/>
      <c r="P193" s="2"/>
      <c r="Q193" s="2"/>
      <c r="R193" s="2"/>
      <c r="S193" s="2"/>
      <c r="T193" s="2"/>
      <c r="X193" s="26"/>
    </row>
    <row r="194" spans="1:24" ht="20.100000000000001" customHeight="1" x14ac:dyDescent="0.3">
      <c r="A194" s="2"/>
      <c r="B194" s="2"/>
      <c r="C194" s="2"/>
      <c r="D194" s="2"/>
      <c r="E194" s="2"/>
      <c r="F194" s="2"/>
      <c r="G194" s="2"/>
      <c r="H194" s="2"/>
      <c r="I194" s="2"/>
      <c r="J194" s="2"/>
      <c r="K194" s="2"/>
      <c r="L194" s="2"/>
      <c r="M194" s="2"/>
      <c r="N194" s="25"/>
      <c r="O194" s="2"/>
      <c r="P194" s="2"/>
      <c r="Q194" s="2"/>
      <c r="R194" s="2"/>
      <c r="S194" s="2"/>
      <c r="T194" s="2"/>
      <c r="X194" s="26"/>
    </row>
    <row r="195" spans="1:24" ht="20.100000000000001" customHeight="1" x14ac:dyDescent="0.3">
      <c r="A195" s="2"/>
      <c r="B195" s="2"/>
      <c r="C195" s="2"/>
      <c r="D195" s="2"/>
      <c r="E195" s="2"/>
      <c r="F195" s="2"/>
      <c r="G195" s="2"/>
      <c r="H195" s="2"/>
      <c r="I195" s="2"/>
      <c r="J195" s="2"/>
      <c r="K195" s="2"/>
      <c r="L195" s="2"/>
      <c r="M195" s="2"/>
      <c r="N195" s="25"/>
      <c r="O195" s="2"/>
      <c r="P195" s="2"/>
      <c r="Q195" s="2"/>
      <c r="R195" s="2"/>
      <c r="S195" s="2"/>
      <c r="T195" s="2"/>
      <c r="X195" s="26"/>
    </row>
    <row r="196" spans="1:24" ht="20.100000000000001" customHeight="1" x14ac:dyDescent="0.3">
      <c r="A196" s="2"/>
      <c r="B196" s="2"/>
      <c r="C196" s="2"/>
      <c r="D196" s="2"/>
      <c r="E196" s="2"/>
      <c r="F196" s="2"/>
      <c r="G196" s="2"/>
      <c r="H196" s="2"/>
      <c r="I196" s="2"/>
      <c r="J196" s="2"/>
      <c r="K196" s="2"/>
      <c r="L196" s="2"/>
      <c r="M196" s="2"/>
      <c r="N196" s="25"/>
      <c r="O196" s="2"/>
      <c r="P196" s="2"/>
      <c r="Q196" s="2"/>
      <c r="R196" s="2"/>
      <c r="S196" s="2"/>
      <c r="T196" s="2"/>
      <c r="X196" s="26"/>
    </row>
    <row r="197" spans="1:24" ht="20.100000000000001" customHeight="1" x14ac:dyDescent="0.3">
      <c r="A197" s="2"/>
      <c r="B197" s="2"/>
      <c r="C197" s="2"/>
      <c r="D197" s="2"/>
      <c r="E197" s="2"/>
      <c r="F197" s="2"/>
      <c r="G197" s="2"/>
      <c r="H197" s="2"/>
      <c r="I197" s="2"/>
      <c r="J197" s="2"/>
      <c r="K197" s="2"/>
      <c r="L197" s="2"/>
      <c r="M197" s="2"/>
      <c r="N197" s="25"/>
      <c r="O197" s="2"/>
      <c r="P197" s="2"/>
      <c r="Q197" s="2"/>
      <c r="R197" s="2"/>
      <c r="S197" s="2"/>
      <c r="T197" s="2"/>
      <c r="X197" s="26"/>
    </row>
    <row r="198" spans="1:24" ht="20.100000000000001" customHeight="1" x14ac:dyDescent="0.3">
      <c r="A198" s="2"/>
      <c r="B198" s="2"/>
      <c r="C198" s="2"/>
      <c r="D198" s="2"/>
      <c r="E198" s="2"/>
      <c r="F198" s="2"/>
      <c r="G198" s="2"/>
      <c r="H198" s="2"/>
      <c r="I198" s="2"/>
      <c r="J198" s="2"/>
      <c r="K198" s="2"/>
      <c r="L198" s="2"/>
      <c r="M198" s="2"/>
      <c r="N198" s="25"/>
      <c r="O198" s="2"/>
      <c r="P198" s="2"/>
      <c r="Q198" s="2"/>
      <c r="R198" s="2"/>
      <c r="S198" s="2"/>
      <c r="T198" s="2"/>
      <c r="X198" s="26"/>
    </row>
    <row r="199" spans="1:24" ht="20.100000000000001" customHeight="1" x14ac:dyDescent="0.3">
      <c r="A199" s="2"/>
      <c r="B199" s="2"/>
      <c r="C199" s="2"/>
      <c r="D199" s="2"/>
      <c r="E199" s="2"/>
      <c r="F199" s="2"/>
      <c r="G199" s="2"/>
      <c r="H199" s="2"/>
      <c r="I199" s="2"/>
      <c r="J199" s="2"/>
      <c r="K199" s="2"/>
      <c r="L199" s="2"/>
      <c r="M199" s="2"/>
      <c r="N199" s="25"/>
      <c r="O199" s="2"/>
      <c r="P199" s="2"/>
      <c r="Q199" s="2"/>
      <c r="R199" s="2"/>
      <c r="S199" s="2"/>
      <c r="T199" s="2"/>
      <c r="X199" s="26"/>
    </row>
    <row r="200" spans="1:24" ht="20.100000000000001" customHeight="1" x14ac:dyDescent="0.3">
      <c r="A200" s="2"/>
      <c r="B200" s="2"/>
      <c r="C200" s="2"/>
      <c r="D200" s="2"/>
      <c r="E200" s="2"/>
      <c r="F200" s="2"/>
      <c r="G200" s="2"/>
      <c r="H200" s="2"/>
      <c r="I200" s="2"/>
      <c r="J200" s="2"/>
      <c r="K200" s="2"/>
      <c r="L200" s="2"/>
      <c r="M200" s="2"/>
      <c r="N200" s="25"/>
      <c r="O200" s="2"/>
      <c r="P200" s="2"/>
      <c r="Q200" s="2"/>
      <c r="R200" s="2"/>
      <c r="S200" s="2"/>
      <c r="T200" s="2"/>
      <c r="X200" s="26"/>
    </row>
    <row r="201" spans="1:24" ht="20.100000000000001" customHeight="1" x14ac:dyDescent="0.3">
      <c r="A201" s="2"/>
      <c r="B201" s="2"/>
      <c r="C201" s="2"/>
      <c r="D201" s="2"/>
      <c r="E201" s="2"/>
      <c r="F201" s="2"/>
      <c r="G201" s="2"/>
      <c r="H201" s="2"/>
      <c r="I201" s="2"/>
      <c r="J201" s="2"/>
      <c r="K201" s="2"/>
      <c r="L201" s="2"/>
      <c r="M201" s="2"/>
      <c r="N201" s="25"/>
      <c r="O201" s="2"/>
      <c r="P201" s="2"/>
      <c r="Q201" s="2"/>
      <c r="R201" s="2"/>
      <c r="S201" s="2"/>
      <c r="T201" s="2"/>
      <c r="X201" s="26"/>
    </row>
    <row r="202" spans="1:24" ht="20.100000000000001" customHeight="1" x14ac:dyDescent="0.3">
      <c r="A202" s="2"/>
      <c r="B202" s="2"/>
      <c r="C202" s="2"/>
      <c r="D202" s="2"/>
      <c r="E202" s="2"/>
      <c r="F202" s="2"/>
      <c r="G202" s="2"/>
      <c r="H202" s="2"/>
      <c r="I202" s="2"/>
      <c r="J202" s="2"/>
      <c r="K202" s="2"/>
      <c r="L202" s="2"/>
      <c r="M202" s="2"/>
      <c r="N202" s="25"/>
      <c r="O202" s="2"/>
      <c r="P202" s="2"/>
      <c r="Q202" s="2"/>
      <c r="R202" s="2"/>
      <c r="S202" s="2"/>
      <c r="T202" s="2"/>
      <c r="X202" s="26"/>
    </row>
    <row r="203" spans="1:24" ht="20.100000000000001" customHeight="1" x14ac:dyDescent="0.3">
      <c r="A203" s="2"/>
      <c r="B203" s="2"/>
      <c r="C203" s="2"/>
      <c r="D203" s="2"/>
      <c r="E203" s="2"/>
      <c r="F203" s="2"/>
      <c r="G203" s="2"/>
      <c r="H203" s="2"/>
      <c r="I203" s="2"/>
      <c r="J203" s="2"/>
      <c r="K203" s="2"/>
      <c r="L203" s="2"/>
      <c r="M203" s="2"/>
      <c r="N203" s="25"/>
      <c r="O203" s="2"/>
      <c r="P203" s="2"/>
      <c r="Q203" s="2"/>
      <c r="R203" s="2"/>
      <c r="S203" s="2"/>
      <c r="T203" s="2"/>
      <c r="X203" s="26"/>
    </row>
    <row r="204" spans="1:24" ht="20.100000000000001" customHeight="1" x14ac:dyDescent="0.3">
      <c r="A204" s="2"/>
      <c r="B204" s="2"/>
      <c r="C204" s="2"/>
      <c r="D204" s="2"/>
      <c r="E204" s="2"/>
      <c r="F204" s="2"/>
      <c r="G204" s="2"/>
      <c r="H204" s="2"/>
      <c r="I204" s="2"/>
      <c r="J204" s="2"/>
      <c r="K204" s="2"/>
      <c r="L204" s="2"/>
      <c r="M204" s="2"/>
      <c r="N204" s="25"/>
      <c r="O204" s="2"/>
      <c r="P204" s="2"/>
      <c r="Q204" s="2"/>
      <c r="R204" s="2"/>
      <c r="S204" s="2"/>
      <c r="T204" s="2"/>
      <c r="X204" s="26"/>
    </row>
    <row r="205" spans="1:24" ht="20.100000000000001" customHeight="1" x14ac:dyDescent="0.3">
      <c r="A205" s="2"/>
      <c r="B205" s="2"/>
      <c r="C205" s="2"/>
      <c r="D205" s="2"/>
      <c r="E205" s="2"/>
      <c r="F205" s="2"/>
      <c r="G205" s="2"/>
      <c r="H205" s="2"/>
      <c r="I205" s="2"/>
      <c r="J205" s="2"/>
      <c r="K205" s="2"/>
      <c r="L205" s="2"/>
      <c r="M205" s="2"/>
      <c r="N205" s="25"/>
      <c r="O205" s="2"/>
      <c r="P205" s="2"/>
      <c r="Q205" s="2"/>
      <c r="R205" s="2"/>
      <c r="S205" s="2"/>
      <c r="T205" s="2"/>
      <c r="X205" s="26"/>
    </row>
    <row r="206" spans="1:24" ht="20.100000000000001" customHeight="1" x14ac:dyDescent="0.3">
      <c r="A206" s="2"/>
      <c r="B206" s="2"/>
      <c r="C206" s="2"/>
      <c r="D206" s="2"/>
      <c r="E206" s="2"/>
      <c r="F206" s="2"/>
      <c r="G206" s="2"/>
      <c r="H206" s="2"/>
      <c r="I206" s="2"/>
      <c r="J206" s="2"/>
      <c r="K206" s="2"/>
      <c r="L206" s="2"/>
      <c r="M206" s="2"/>
      <c r="N206" s="25"/>
      <c r="O206" s="2"/>
      <c r="P206" s="2"/>
      <c r="Q206" s="2"/>
      <c r="R206" s="2"/>
      <c r="S206" s="2"/>
      <c r="T206" s="2"/>
      <c r="X206" s="26"/>
    </row>
    <row r="207" spans="1:24" ht="20.100000000000001" customHeight="1" x14ac:dyDescent="0.3">
      <c r="A207" s="2"/>
      <c r="B207" s="2"/>
      <c r="C207" s="2"/>
      <c r="D207" s="2"/>
      <c r="E207" s="2"/>
      <c r="F207" s="2"/>
      <c r="G207" s="2"/>
      <c r="H207" s="2"/>
      <c r="I207" s="2"/>
      <c r="J207" s="2"/>
      <c r="K207" s="2"/>
      <c r="L207" s="2"/>
      <c r="M207" s="2"/>
      <c r="N207" s="25"/>
      <c r="O207" s="2"/>
      <c r="P207" s="2"/>
      <c r="Q207" s="2"/>
      <c r="R207" s="2"/>
      <c r="S207" s="2"/>
      <c r="T207" s="2"/>
      <c r="X207" s="26"/>
    </row>
    <row r="208" spans="1:24" ht="20.100000000000001" customHeight="1" x14ac:dyDescent="0.3">
      <c r="A208" s="2"/>
      <c r="B208" s="2"/>
      <c r="C208" s="2"/>
      <c r="D208" s="2"/>
      <c r="E208" s="2"/>
      <c r="F208" s="2"/>
      <c r="G208" s="2"/>
      <c r="H208" s="2"/>
      <c r="I208" s="2"/>
      <c r="J208" s="2"/>
      <c r="K208" s="2"/>
      <c r="L208" s="2"/>
      <c r="M208" s="2"/>
      <c r="N208" s="25"/>
      <c r="O208" s="2"/>
      <c r="P208" s="2"/>
      <c r="Q208" s="2"/>
      <c r="R208" s="2"/>
      <c r="S208" s="2"/>
      <c r="T208" s="2"/>
      <c r="X208" s="26"/>
    </row>
    <row r="209" spans="1:24" ht="20.100000000000001" customHeight="1" x14ac:dyDescent="0.3">
      <c r="A209" s="2"/>
      <c r="B209" s="2"/>
      <c r="C209" s="2"/>
      <c r="D209" s="2"/>
      <c r="E209" s="2"/>
      <c r="F209" s="2"/>
      <c r="G209" s="2"/>
      <c r="H209" s="2"/>
      <c r="I209" s="2"/>
      <c r="J209" s="2"/>
      <c r="K209" s="2"/>
      <c r="L209" s="2"/>
      <c r="M209" s="2"/>
      <c r="N209" s="25"/>
      <c r="O209" s="2"/>
      <c r="P209" s="2"/>
      <c r="Q209" s="2"/>
      <c r="R209" s="2"/>
      <c r="S209" s="2"/>
      <c r="T209" s="2"/>
      <c r="X209" s="26"/>
    </row>
    <row r="210" spans="1:24" ht="20.100000000000001" customHeight="1" x14ac:dyDescent="0.3">
      <c r="A210" s="2"/>
      <c r="B210" s="2"/>
      <c r="C210" s="2"/>
      <c r="D210" s="2"/>
      <c r="E210" s="2"/>
      <c r="F210" s="2"/>
      <c r="G210" s="2"/>
      <c r="H210" s="2"/>
      <c r="I210" s="2"/>
      <c r="J210" s="2"/>
      <c r="K210" s="2"/>
      <c r="L210" s="2"/>
      <c r="M210" s="2"/>
      <c r="N210" s="25"/>
      <c r="O210" s="2"/>
      <c r="P210" s="2"/>
      <c r="Q210" s="2"/>
      <c r="R210" s="2"/>
      <c r="S210" s="2"/>
      <c r="T210" s="2"/>
      <c r="X210" s="26"/>
    </row>
    <row r="211" spans="1:24" ht="20.100000000000001" customHeight="1" x14ac:dyDescent="0.3">
      <c r="A211" s="2"/>
      <c r="B211" s="2"/>
      <c r="C211" s="2"/>
      <c r="D211" s="2"/>
      <c r="E211" s="2"/>
      <c r="F211" s="2"/>
      <c r="G211" s="2"/>
      <c r="H211" s="2"/>
      <c r="I211" s="2"/>
      <c r="J211" s="2"/>
      <c r="K211" s="2"/>
      <c r="L211" s="2"/>
      <c r="M211" s="2"/>
      <c r="N211" s="25"/>
      <c r="O211" s="2"/>
      <c r="P211" s="2"/>
      <c r="Q211" s="2"/>
      <c r="R211" s="2"/>
      <c r="S211" s="2"/>
      <c r="T211" s="2"/>
      <c r="X211" s="26"/>
    </row>
    <row r="212" spans="1:24" ht="20.100000000000001" customHeight="1" x14ac:dyDescent="0.3">
      <c r="A212" s="2"/>
      <c r="B212" s="2"/>
      <c r="C212" s="2"/>
      <c r="D212" s="2"/>
      <c r="E212" s="2"/>
      <c r="F212" s="2"/>
      <c r="G212" s="2"/>
      <c r="H212" s="2"/>
      <c r="I212" s="2"/>
      <c r="J212" s="2"/>
      <c r="K212" s="2"/>
      <c r="L212" s="2"/>
      <c r="M212" s="2"/>
      <c r="N212" s="25"/>
      <c r="O212" s="2"/>
      <c r="P212" s="2"/>
      <c r="Q212" s="2"/>
      <c r="R212" s="2"/>
      <c r="S212" s="2"/>
      <c r="T212" s="2"/>
      <c r="X212" s="26"/>
    </row>
    <row r="213" spans="1:24" ht="20.100000000000001" customHeight="1" x14ac:dyDescent="0.3">
      <c r="A213" s="2"/>
      <c r="B213" s="2"/>
      <c r="C213" s="2"/>
      <c r="D213" s="2"/>
      <c r="E213" s="2"/>
      <c r="F213" s="2"/>
      <c r="G213" s="2"/>
      <c r="H213" s="2"/>
      <c r="I213" s="2"/>
      <c r="J213" s="2"/>
      <c r="K213" s="2"/>
      <c r="L213" s="2"/>
      <c r="M213" s="2"/>
      <c r="N213" s="25"/>
      <c r="O213" s="2"/>
      <c r="P213" s="2"/>
      <c r="Q213" s="2"/>
      <c r="R213" s="2"/>
      <c r="S213" s="2"/>
      <c r="T213" s="2"/>
      <c r="X213" s="26"/>
    </row>
    <row r="214" spans="1:24" ht="20.100000000000001" customHeight="1" x14ac:dyDescent="0.3">
      <c r="A214" s="2"/>
      <c r="B214" s="2"/>
      <c r="C214" s="2"/>
      <c r="D214" s="2"/>
      <c r="E214" s="2"/>
      <c r="F214" s="2"/>
      <c r="G214" s="2"/>
      <c r="H214" s="2"/>
      <c r="I214" s="2"/>
      <c r="J214" s="2"/>
      <c r="K214" s="2"/>
      <c r="L214" s="2"/>
      <c r="M214" s="2"/>
      <c r="N214" s="25"/>
      <c r="O214" s="2"/>
      <c r="P214" s="2"/>
      <c r="Q214" s="2"/>
      <c r="R214" s="2"/>
      <c r="S214" s="2"/>
      <c r="T214" s="2"/>
      <c r="X214" s="26"/>
    </row>
    <row r="215" spans="1:24" ht="20.100000000000001" customHeight="1" x14ac:dyDescent="0.3">
      <c r="A215" s="2"/>
      <c r="B215" s="2"/>
      <c r="C215" s="2"/>
      <c r="D215" s="2"/>
      <c r="E215" s="2"/>
      <c r="F215" s="2"/>
      <c r="G215" s="2"/>
      <c r="H215" s="2"/>
      <c r="I215" s="2"/>
      <c r="J215" s="2"/>
      <c r="K215" s="2"/>
      <c r="L215" s="2"/>
      <c r="M215" s="2"/>
      <c r="N215" s="25"/>
      <c r="O215" s="2"/>
      <c r="P215" s="2"/>
      <c r="Q215" s="2"/>
      <c r="R215" s="2"/>
      <c r="S215" s="2"/>
      <c r="T215" s="2"/>
      <c r="X215" s="26"/>
    </row>
    <row r="216" spans="1:24" ht="20.100000000000001" customHeight="1" x14ac:dyDescent="0.3">
      <c r="A216" s="2"/>
      <c r="B216" s="2"/>
      <c r="C216" s="2"/>
      <c r="D216" s="2"/>
      <c r="E216" s="2"/>
      <c r="F216" s="2"/>
      <c r="G216" s="2"/>
      <c r="H216" s="2"/>
      <c r="I216" s="2"/>
      <c r="J216" s="2"/>
      <c r="K216" s="2"/>
      <c r="L216" s="2"/>
      <c r="M216" s="2"/>
      <c r="N216" s="25"/>
      <c r="O216" s="2"/>
      <c r="P216" s="2"/>
      <c r="Q216" s="2"/>
      <c r="R216" s="2"/>
      <c r="S216" s="2"/>
      <c r="T216" s="2"/>
      <c r="X216" s="26"/>
    </row>
    <row r="217" spans="1:24" ht="20.100000000000001" customHeight="1" x14ac:dyDescent="0.3">
      <c r="A217" s="2"/>
      <c r="B217" s="2"/>
      <c r="C217" s="2"/>
      <c r="D217" s="2"/>
      <c r="E217" s="2"/>
      <c r="F217" s="2"/>
      <c r="G217" s="2"/>
      <c r="H217" s="2"/>
      <c r="I217" s="2"/>
      <c r="J217" s="2"/>
      <c r="K217" s="2"/>
      <c r="L217" s="2"/>
      <c r="M217" s="2"/>
      <c r="N217" s="25"/>
      <c r="O217" s="2"/>
      <c r="P217" s="2"/>
      <c r="Q217" s="2"/>
      <c r="R217" s="2"/>
      <c r="S217" s="2"/>
      <c r="T217" s="2"/>
      <c r="X217" s="26"/>
    </row>
    <row r="218" spans="1:24" ht="20.100000000000001" customHeight="1" x14ac:dyDescent="0.3">
      <c r="A218" s="2"/>
      <c r="B218" s="2"/>
      <c r="C218" s="2"/>
      <c r="D218" s="2"/>
      <c r="E218" s="2"/>
      <c r="F218" s="2"/>
      <c r="G218" s="2"/>
      <c r="H218" s="2"/>
      <c r="I218" s="2"/>
      <c r="J218" s="2"/>
      <c r="K218" s="2"/>
      <c r="L218" s="2"/>
      <c r="M218" s="2"/>
      <c r="N218" s="25"/>
      <c r="O218" s="2"/>
      <c r="P218" s="2"/>
      <c r="Q218" s="2"/>
      <c r="R218" s="2"/>
      <c r="S218" s="2"/>
      <c r="T218" s="2"/>
      <c r="X218" s="26"/>
    </row>
    <row r="219" spans="1:24" ht="20.100000000000001" customHeight="1" x14ac:dyDescent="0.3">
      <c r="A219" s="2"/>
      <c r="B219" s="2"/>
      <c r="C219" s="2"/>
      <c r="D219" s="2"/>
      <c r="E219" s="2"/>
      <c r="F219" s="2"/>
      <c r="G219" s="2"/>
      <c r="H219" s="2"/>
      <c r="I219" s="2"/>
      <c r="J219" s="2"/>
      <c r="K219" s="2"/>
      <c r="L219" s="2"/>
      <c r="M219" s="2"/>
      <c r="N219" s="25"/>
      <c r="O219" s="2"/>
      <c r="P219" s="2"/>
      <c r="Q219" s="2"/>
      <c r="R219" s="2"/>
      <c r="S219" s="2"/>
      <c r="T219" s="2"/>
      <c r="X219" s="26"/>
    </row>
    <row r="220" spans="1:24" ht="20.100000000000001" customHeight="1" x14ac:dyDescent="0.3">
      <c r="A220" s="2"/>
      <c r="B220" s="2"/>
      <c r="C220" s="2"/>
      <c r="D220" s="2"/>
      <c r="E220" s="2"/>
      <c r="F220" s="2"/>
      <c r="G220" s="2"/>
      <c r="H220" s="2"/>
      <c r="I220" s="2"/>
      <c r="J220" s="2"/>
      <c r="K220" s="2"/>
      <c r="L220" s="2"/>
      <c r="M220" s="2"/>
      <c r="N220" s="25"/>
      <c r="O220" s="2"/>
      <c r="P220" s="2"/>
      <c r="Q220" s="2"/>
      <c r="R220" s="2"/>
      <c r="S220" s="2"/>
      <c r="T220" s="2"/>
      <c r="X220" s="26"/>
    </row>
    <row r="221" spans="1:24" ht="20.100000000000001" customHeight="1" x14ac:dyDescent="0.3">
      <c r="A221" s="2"/>
      <c r="B221" s="2"/>
      <c r="C221" s="2"/>
      <c r="D221" s="2"/>
      <c r="E221" s="2"/>
      <c r="F221" s="2"/>
      <c r="G221" s="2"/>
      <c r="H221" s="2"/>
      <c r="I221" s="2"/>
      <c r="J221" s="2"/>
      <c r="K221" s="2"/>
      <c r="L221" s="2"/>
      <c r="M221" s="2"/>
      <c r="N221" s="25"/>
      <c r="O221" s="2"/>
      <c r="P221" s="2"/>
      <c r="Q221" s="2"/>
      <c r="R221" s="2"/>
      <c r="S221" s="2"/>
      <c r="T221" s="2"/>
      <c r="X221" s="26"/>
    </row>
    <row r="222" spans="1:24" ht="20.100000000000001" customHeight="1" x14ac:dyDescent="0.3">
      <c r="A222" s="2"/>
      <c r="B222" s="2"/>
      <c r="C222" s="2"/>
      <c r="D222" s="2"/>
      <c r="E222" s="2"/>
      <c r="F222" s="2"/>
      <c r="G222" s="2"/>
      <c r="H222" s="2"/>
      <c r="I222" s="2"/>
      <c r="J222" s="2"/>
      <c r="K222" s="2"/>
      <c r="L222" s="2"/>
      <c r="M222" s="2"/>
      <c r="N222" s="25"/>
      <c r="O222" s="2"/>
      <c r="P222" s="2"/>
      <c r="Q222" s="2"/>
      <c r="R222" s="2"/>
      <c r="S222" s="2"/>
      <c r="T222" s="2"/>
      <c r="X222" s="26"/>
    </row>
    <row r="223" spans="1:24" ht="20.100000000000001" customHeight="1" x14ac:dyDescent="0.3">
      <c r="A223" s="2"/>
      <c r="B223" s="2"/>
      <c r="C223" s="2"/>
      <c r="D223" s="2"/>
      <c r="E223" s="2"/>
      <c r="F223" s="2"/>
      <c r="G223" s="2"/>
      <c r="H223" s="2"/>
      <c r="I223" s="2"/>
      <c r="J223" s="2"/>
      <c r="K223" s="2"/>
      <c r="L223" s="2"/>
      <c r="M223" s="2"/>
      <c r="N223" s="25"/>
      <c r="O223" s="2"/>
      <c r="P223" s="2"/>
      <c r="Q223" s="2"/>
      <c r="R223" s="2"/>
      <c r="S223" s="2"/>
      <c r="T223" s="2"/>
      <c r="X223" s="26"/>
    </row>
    <row r="224" spans="1:24" ht="20.100000000000001" customHeight="1" x14ac:dyDescent="0.3">
      <c r="A224" s="2"/>
      <c r="B224" s="2"/>
      <c r="C224" s="2"/>
      <c r="D224" s="2"/>
      <c r="E224" s="2"/>
      <c r="F224" s="2"/>
      <c r="G224" s="2"/>
      <c r="H224" s="2"/>
      <c r="I224" s="2"/>
      <c r="J224" s="2"/>
      <c r="K224" s="2"/>
      <c r="L224" s="2"/>
      <c r="M224" s="2"/>
      <c r="N224" s="25"/>
      <c r="O224" s="2"/>
      <c r="P224" s="2"/>
      <c r="Q224" s="2"/>
      <c r="R224" s="2"/>
      <c r="S224" s="2"/>
      <c r="T224" s="2"/>
      <c r="X224" s="26"/>
    </row>
    <row r="225" spans="1:24" ht="20.100000000000001" customHeight="1" x14ac:dyDescent="0.3">
      <c r="A225" s="2"/>
      <c r="B225" s="2"/>
      <c r="C225" s="2"/>
      <c r="D225" s="2"/>
      <c r="E225" s="2"/>
      <c r="F225" s="2"/>
      <c r="G225" s="2"/>
      <c r="H225" s="2"/>
      <c r="I225" s="2"/>
      <c r="J225" s="2"/>
      <c r="K225" s="2"/>
      <c r="L225" s="2"/>
      <c r="M225" s="2"/>
      <c r="N225" s="25"/>
      <c r="O225" s="2"/>
      <c r="P225" s="2"/>
      <c r="Q225" s="2"/>
      <c r="R225" s="2"/>
      <c r="S225" s="2"/>
      <c r="T225" s="2"/>
      <c r="X225" s="26"/>
    </row>
    <row r="226" spans="1:24" ht="20.100000000000001" customHeight="1" x14ac:dyDescent="0.3">
      <c r="A226" s="2"/>
      <c r="B226" s="2"/>
      <c r="C226" s="2"/>
      <c r="D226" s="2"/>
      <c r="E226" s="2"/>
      <c r="F226" s="2"/>
      <c r="G226" s="2"/>
      <c r="H226" s="2"/>
      <c r="I226" s="2"/>
      <c r="J226" s="2"/>
      <c r="K226" s="2"/>
      <c r="L226" s="2"/>
      <c r="M226" s="2"/>
      <c r="N226" s="25"/>
      <c r="O226" s="2"/>
      <c r="P226" s="2"/>
      <c r="Q226" s="2"/>
      <c r="R226" s="2"/>
      <c r="S226" s="2"/>
      <c r="T226" s="2"/>
      <c r="X226" s="26"/>
    </row>
    <row r="227" spans="1:24" ht="20.100000000000001" customHeight="1" x14ac:dyDescent="0.3">
      <c r="A227" s="2"/>
      <c r="B227" s="2"/>
      <c r="C227" s="2"/>
      <c r="D227" s="2"/>
      <c r="E227" s="2"/>
      <c r="F227" s="2"/>
      <c r="G227" s="2"/>
      <c r="H227" s="2"/>
      <c r="I227" s="2"/>
      <c r="J227" s="2"/>
      <c r="K227" s="2"/>
      <c r="L227" s="2"/>
      <c r="M227" s="2"/>
      <c r="N227" s="25"/>
      <c r="O227" s="2"/>
      <c r="P227" s="2"/>
      <c r="Q227" s="2"/>
      <c r="R227" s="2"/>
      <c r="S227" s="2"/>
      <c r="T227" s="2"/>
      <c r="X227" s="26"/>
    </row>
    <row r="228" spans="1:24" ht="20.100000000000001" customHeight="1" x14ac:dyDescent="0.3">
      <c r="A228" s="2"/>
      <c r="B228" s="2"/>
      <c r="C228" s="2"/>
      <c r="D228" s="2"/>
      <c r="E228" s="2"/>
      <c r="F228" s="2"/>
      <c r="G228" s="2"/>
      <c r="H228" s="2"/>
      <c r="I228" s="2"/>
      <c r="J228" s="2"/>
      <c r="K228" s="2"/>
      <c r="L228" s="2"/>
      <c r="M228" s="2"/>
      <c r="N228" s="25"/>
      <c r="O228" s="2"/>
      <c r="P228" s="2"/>
      <c r="Q228" s="2"/>
      <c r="R228" s="2"/>
      <c r="S228" s="2"/>
      <c r="T228" s="2"/>
      <c r="X228" s="26"/>
    </row>
    <row r="229" spans="1:24" ht="20.100000000000001" customHeight="1" x14ac:dyDescent="0.3">
      <c r="A229" s="2"/>
      <c r="B229" s="2"/>
      <c r="C229" s="2"/>
      <c r="D229" s="2"/>
      <c r="E229" s="2"/>
      <c r="F229" s="2"/>
      <c r="G229" s="2"/>
      <c r="H229" s="2"/>
      <c r="I229" s="2"/>
      <c r="J229" s="2"/>
      <c r="K229" s="2"/>
      <c r="L229" s="2"/>
      <c r="M229" s="2"/>
      <c r="N229" s="25"/>
      <c r="O229" s="2"/>
      <c r="P229" s="2"/>
      <c r="Q229" s="2"/>
      <c r="R229" s="2"/>
      <c r="S229" s="2"/>
      <c r="T229" s="2"/>
      <c r="X229" s="26"/>
    </row>
    <row r="230" spans="1:24" ht="20.100000000000001" customHeight="1" x14ac:dyDescent="0.3">
      <c r="A230" s="2"/>
      <c r="B230" s="2"/>
      <c r="C230" s="2"/>
      <c r="D230" s="2"/>
      <c r="E230" s="2"/>
      <c r="F230" s="2"/>
      <c r="G230" s="2"/>
      <c r="H230" s="2"/>
      <c r="I230" s="2"/>
      <c r="J230" s="2"/>
      <c r="K230" s="2"/>
      <c r="L230" s="2"/>
      <c r="M230" s="2"/>
      <c r="N230" s="25"/>
      <c r="O230" s="2"/>
      <c r="P230" s="2"/>
      <c r="Q230" s="2"/>
      <c r="R230" s="2"/>
      <c r="S230" s="2"/>
      <c r="T230" s="2"/>
      <c r="X230" s="26"/>
    </row>
    <row r="231" spans="1:24" ht="20.100000000000001" customHeight="1" x14ac:dyDescent="0.3">
      <c r="A231" s="2"/>
      <c r="B231" s="2"/>
      <c r="C231" s="2"/>
      <c r="D231" s="2"/>
      <c r="E231" s="2"/>
      <c r="F231" s="2"/>
      <c r="G231" s="2"/>
      <c r="H231" s="2"/>
      <c r="I231" s="2"/>
      <c r="J231" s="2"/>
      <c r="K231" s="2"/>
      <c r="L231" s="2"/>
      <c r="M231" s="2"/>
      <c r="N231" s="25"/>
      <c r="O231" s="2"/>
      <c r="P231" s="2"/>
      <c r="Q231" s="2"/>
      <c r="R231" s="2"/>
      <c r="S231" s="2"/>
      <c r="T231" s="2"/>
      <c r="X231" s="26"/>
    </row>
    <row r="232" spans="1:24" ht="20.100000000000001" customHeight="1" x14ac:dyDescent="0.3">
      <c r="A232" s="2"/>
      <c r="B232" s="2"/>
      <c r="C232" s="2"/>
      <c r="D232" s="2"/>
      <c r="E232" s="2"/>
      <c r="F232" s="2"/>
      <c r="G232" s="2"/>
      <c r="H232" s="2"/>
      <c r="I232" s="2"/>
      <c r="J232" s="2"/>
      <c r="K232" s="2"/>
      <c r="L232" s="2"/>
      <c r="M232" s="2"/>
      <c r="N232" s="25"/>
      <c r="O232" s="2"/>
      <c r="P232" s="2"/>
      <c r="Q232" s="2"/>
      <c r="R232" s="2"/>
      <c r="S232" s="2"/>
      <c r="T232" s="2"/>
      <c r="X232" s="26"/>
    </row>
    <row r="233" spans="1:24" ht="20.100000000000001" customHeight="1" x14ac:dyDescent="0.3">
      <c r="A233" s="2"/>
      <c r="B233" s="2"/>
      <c r="C233" s="2"/>
      <c r="D233" s="2"/>
      <c r="E233" s="2"/>
      <c r="F233" s="2"/>
      <c r="G233" s="2"/>
      <c r="H233" s="2"/>
      <c r="I233" s="2"/>
      <c r="J233" s="2"/>
      <c r="K233" s="2"/>
      <c r="L233" s="2"/>
      <c r="M233" s="2"/>
      <c r="N233" s="25"/>
      <c r="O233" s="2"/>
      <c r="P233" s="2"/>
      <c r="Q233" s="2"/>
      <c r="R233" s="2"/>
      <c r="S233" s="2"/>
      <c r="T233" s="2"/>
      <c r="X233" s="26"/>
    </row>
    <row r="234" spans="1:24" ht="20.100000000000001" customHeight="1" x14ac:dyDescent="0.3">
      <c r="A234" s="2"/>
      <c r="B234" s="2"/>
      <c r="C234" s="2"/>
      <c r="D234" s="2"/>
      <c r="E234" s="2"/>
      <c r="F234" s="2"/>
      <c r="G234" s="2"/>
      <c r="H234" s="2"/>
      <c r="I234" s="2"/>
      <c r="J234" s="2"/>
      <c r="K234" s="2"/>
      <c r="L234" s="2"/>
      <c r="M234" s="2"/>
      <c r="N234" s="25"/>
      <c r="O234" s="2"/>
      <c r="P234" s="2"/>
      <c r="Q234" s="2"/>
      <c r="R234" s="2"/>
      <c r="S234" s="2"/>
      <c r="T234" s="2"/>
      <c r="X234" s="26"/>
    </row>
    <row r="235" spans="1:24" ht="20.100000000000001" customHeight="1" x14ac:dyDescent="0.3">
      <c r="A235" s="2"/>
      <c r="B235" s="2"/>
      <c r="C235" s="2"/>
      <c r="D235" s="2"/>
      <c r="E235" s="2"/>
      <c r="F235" s="2"/>
      <c r="G235" s="2"/>
      <c r="H235" s="2"/>
      <c r="I235" s="2"/>
      <c r="J235" s="2"/>
      <c r="K235" s="2"/>
      <c r="L235" s="2"/>
      <c r="M235" s="2"/>
      <c r="N235" s="25"/>
      <c r="O235" s="2"/>
      <c r="P235" s="2"/>
      <c r="Q235" s="2"/>
      <c r="R235" s="2"/>
      <c r="S235" s="2"/>
      <c r="T235" s="2"/>
      <c r="X235" s="26"/>
    </row>
    <row r="236" spans="1:24" ht="20.100000000000001" customHeight="1" x14ac:dyDescent="0.3">
      <c r="A236" s="2"/>
      <c r="B236" s="2"/>
      <c r="C236" s="2"/>
      <c r="D236" s="2"/>
      <c r="E236" s="2"/>
      <c r="F236" s="2"/>
      <c r="G236" s="2"/>
      <c r="H236" s="2"/>
      <c r="I236" s="2"/>
      <c r="J236" s="2"/>
      <c r="K236" s="2"/>
      <c r="L236" s="2"/>
      <c r="M236" s="2"/>
      <c r="N236" s="25"/>
      <c r="O236" s="2"/>
      <c r="P236" s="2"/>
      <c r="Q236" s="2"/>
      <c r="R236" s="2"/>
      <c r="S236" s="2"/>
      <c r="T236" s="2"/>
      <c r="X236" s="26"/>
    </row>
    <row r="237" spans="1:24" ht="20.100000000000001" customHeight="1" x14ac:dyDescent="0.3">
      <c r="A237" s="2"/>
      <c r="B237" s="2"/>
      <c r="C237" s="2"/>
      <c r="D237" s="2"/>
      <c r="E237" s="2"/>
      <c r="F237" s="2"/>
      <c r="G237" s="2"/>
      <c r="H237" s="2"/>
      <c r="I237" s="2"/>
      <c r="J237" s="2"/>
      <c r="K237" s="2"/>
      <c r="L237" s="2"/>
      <c r="M237" s="2"/>
      <c r="N237" s="25"/>
      <c r="O237" s="2"/>
      <c r="P237" s="2"/>
      <c r="Q237" s="2"/>
      <c r="R237" s="2"/>
      <c r="S237" s="2"/>
      <c r="T237" s="2"/>
      <c r="X237" s="26"/>
    </row>
    <row r="238" spans="1:24" ht="20.100000000000001" customHeight="1" x14ac:dyDescent="0.3">
      <c r="A238" s="2"/>
      <c r="B238" s="2"/>
      <c r="C238" s="2"/>
      <c r="D238" s="2"/>
      <c r="E238" s="2"/>
      <c r="F238" s="2"/>
      <c r="G238" s="2"/>
      <c r="H238" s="2"/>
      <c r="I238" s="2"/>
      <c r="J238" s="2"/>
      <c r="K238" s="2"/>
      <c r="L238" s="2"/>
      <c r="M238" s="2"/>
      <c r="N238" s="25"/>
      <c r="O238" s="2"/>
      <c r="P238" s="2"/>
      <c r="Q238" s="2"/>
      <c r="R238" s="2"/>
      <c r="S238" s="2"/>
      <c r="T238" s="2"/>
      <c r="X238" s="26"/>
    </row>
    <row r="239" spans="1:24" ht="20.100000000000001" customHeight="1" x14ac:dyDescent="0.3">
      <c r="A239" s="2"/>
      <c r="B239" s="2"/>
      <c r="C239" s="2"/>
      <c r="D239" s="2"/>
      <c r="E239" s="2"/>
      <c r="F239" s="2"/>
      <c r="G239" s="2"/>
      <c r="H239" s="2"/>
      <c r="I239" s="2"/>
      <c r="J239" s="2"/>
      <c r="K239" s="2"/>
      <c r="L239" s="2"/>
      <c r="M239" s="2"/>
      <c r="N239" s="25"/>
      <c r="O239" s="2"/>
      <c r="P239" s="2"/>
      <c r="Q239" s="2"/>
      <c r="R239" s="2"/>
      <c r="S239" s="2"/>
      <c r="T239" s="2"/>
      <c r="X239" s="26"/>
    </row>
    <row r="240" spans="1:24" ht="20.100000000000001" customHeight="1" x14ac:dyDescent="0.3">
      <c r="A240" s="2"/>
      <c r="B240" s="2"/>
      <c r="C240" s="2"/>
      <c r="D240" s="2"/>
      <c r="E240" s="2"/>
      <c r="F240" s="2"/>
      <c r="G240" s="2"/>
      <c r="H240" s="2"/>
      <c r="I240" s="2"/>
      <c r="J240" s="2"/>
      <c r="K240" s="2"/>
      <c r="L240" s="2"/>
      <c r="M240" s="2"/>
      <c r="N240" s="25"/>
      <c r="O240" s="2"/>
      <c r="P240" s="2"/>
      <c r="Q240" s="2"/>
      <c r="R240" s="2"/>
      <c r="S240" s="2"/>
      <c r="T240" s="2"/>
      <c r="X240" s="26"/>
    </row>
    <row r="241" spans="1:24" ht="20.100000000000001" customHeight="1" x14ac:dyDescent="0.3">
      <c r="A241" s="2"/>
      <c r="B241" s="2"/>
      <c r="C241" s="2"/>
      <c r="D241" s="2"/>
      <c r="E241" s="2"/>
      <c r="F241" s="2"/>
      <c r="G241" s="2"/>
      <c r="H241" s="2"/>
      <c r="I241" s="2"/>
      <c r="J241" s="2"/>
      <c r="K241" s="2"/>
      <c r="L241" s="2"/>
      <c r="M241" s="2"/>
      <c r="N241" s="25"/>
      <c r="O241" s="2"/>
      <c r="P241" s="2"/>
      <c r="Q241" s="2"/>
      <c r="R241" s="2"/>
      <c r="S241" s="2"/>
      <c r="T241" s="2"/>
      <c r="X241" s="26"/>
    </row>
    <row r="242" spans="1:24" ht="20.100000000000001" customHeight="1" x14ac:dyDescent="0.3">
      <c r="A242" s="2"/>
      <c r="B242" s="2"/>
      <c r="C242" s="2"/>
      <c r="D242" s="2"/>
      <c r="E242" s="2"/>
      <c r="F242" s="2"/>
      <c r="G242" s="2"/>
      <c r="H242" s="2"/>
      <c r="I242" s="2"/>
      <c r="J242" s="2"/>
      <c r="K242" s="2"/>
      <c r="L242" s="2"/>
      <c r="M242" s="2"/>
      <c r="N242" s="25"/>
      <c r="O242" s="2"/>
      <c r="P242" s="2"/>
      <c r="Q242" s="2"/>
      <c r="R242" s="2"/>
      <c r="S242" s="2"/>
      <c r="T242" s="2"/>
      <c r="X242" s="26"/>
    </row>
    <row r="243" spans="1:24" ht="20.100000000000001" customHeight="1" x14ac:dyDescent="0.3">
      <c r="A243" s="2"/>
      <c r="B243" s="2"/>
      <c r="C243" s="2"/>
      <c r="D243" s="2"/>
      <c r="E243" s="2"/>
      <c r="F243" s="2"/>
      <c r="G243" s="2"/>
      <c r="H243" s="2"/>
      <c r="I243" s="2"/>
      <c r="J243" s="2"/>
      <c r="K243" s="2"/>
      <c r="L243" s="2"/>
      <c r="M243" s="2"/>
      <c r="N243" s="25"/>
      <c r="O243" s="2"/>
      <c r="P243" s="2"/>
      <c r="Q243" s="2"/>
      <c r="R243" s="2"/>
      <c r="S243" s="2"/>
      <c r="T243" s="2"/>
      <c r="X243" s="26"/>
    </row>
    <row r="244" spans="1:24" ht="20.100000000000001" customHeight="1" x14ac:dyDescent="0.3">
      <c r="A244" s="2"/>
      <c r="B244" s="2"/>
      <c r="C244" s="2"/>
      <c r="D244" s="2"/>
      <c r="E244" s="2"/>
      <c r="F244" s="2"/>
      <c r="G244" s="2"/>
      <c r="H244" s="2"/>
      <c r="I244" s="2"/>
      <c r="J244" s="2"/>
      <c r="K244" s="2"/>
      <c r="L244" s="2"/>
      <c r="M244" s="2"/>
      <c r="N244" s="25"/>
      <c r="O244" s="2"/>
      <c r="P244" s="2"/>
      <c r="Q244" s="2"/>
      <c r="R244" s="2"/>
      <c r="S244" s="2"/>
      <c r="T244" s="2"/>
      <c r="X244" s="26"/>
    </row>
    <row r="245" spans="1:24" ht="20.100000000000001" customHeight="1" x14ac:dyDescent="0.3">
      <c r="A245" s="2"/>
      <c r="B245" s="2"/>
      <c r="C245" s="2"/>
      <c r="D245" s="2"/>
      <c r="E245" s="2"/>
      <c r="F245" s="2"/>
      <c r="G245" s="2"/>
      <c r="H245" s="2"/>
      <c r="I245" s="2"/>
      <c r="J245" s="2"/>
      <c r="K245" s="2"/>
      <c r="L245" s="2"/>
      <c r="M245" s="2"/>
      <c r="N245" s="25"/>
      <c r="O245" s="2"/>
      <c r="P245" s="2"/>
      <c r="Q245" s="2"/>
      <c r="R245" s="2"/>
      <c r="S245" s="2"/>
      <c r="T245" s="2"/>
      <c r="X245" s="26"/>
    </row>
    <row r="246" spans="1:24" ht="20.100000000000001" customHeight="1" x14ac:dyDescent="0.3">
      <c r="A246" s="2"/>
      <c r="B246" s="2"/>
      <c r="C246" s="2"/>
      <c r="D246" s="2"/>
      <c r="E246" s="2"/>
      <c r="F246" s="2"/>
      <c r="G246" s="2"/>
      <c r="H246" s="2"/>
      <c r="I246" s="2"/>
      <c r="J246" s="2"/>
      <c r="K246" s="2"/>
      <c r="L246" s="2"/>
      <c r="M246" s="2"/>
      <c r="N246" s="25"/>
      <c r="O246" s="2"/>
      <c r="P246" s="2"/>
      <c r="Q246" s="2"/>
      <c r="R246" s="2"/>
      <c r="S246" s="2"/>
      <c r="T246" s="2"/>
      <c r="X246" s="26"/>
    </row>
    <row r="247" spans="1:24" ht="20.100000000000001" customHeight="1" x14ac:dyDescent="0.3">
      <c r="A247" s="2"/>
      <c r="B247" s="2"/>
      <c r="C247" s="2"/>
      <c r="D247" s="2"/>
      <c r="E247" s="2"/>
      <c r="F247" s="2"/>
      <c r="G247" s="2"/>
      <c r="H247" s="2"/>
      <c r="I247" s="2"/>
      <c r="J247" s="2"/>
      <c r="K247" s="2"/>
      <c r="L247" s="2"/>
      <c r="M247" s="2"/>
      <c r="N247" s="25"/>
      <c r="O247" s="2"/>
      <c r="P247" s="2"/>
      <c r="Q247" s="2"/>
      <c r="R247" s="2"/>
      <c r="S247" s="2"/>
      <c r="T247" s="2"/>
      <c r="X247" s="26"/>
    </row>
    <row r="248" spans="1:24" ht="20.100000000000001" customHeight="1" x14ac:dyDescent="0.3">
      <c r="A248" s="2"/>
      <c r="B248" s="2"/>
      <c r="C248" s="2"/>
      <c r="D248" s="2"/>
      <c r="E248" s="2"/>
      <c r="F248" s="2"/>
      <c r="G248" s="2"/>
      <c r="H248" s="2"/>
      <c r="I248" s="2"/>
      <c r="J248" s="2"/>
      <c r="K248" s="2"/>
      <c r="L248" s="2"/>
      <c r="M248" s="2"/>
      <c r="N248" s="25"/>
      <c r="O248" s="2"/>
      <c r="P248" s="2"/>
      <c r="Q248" s="2"/>
      <c r="R248" s="2"/>
      <c r="S248" s="2"/>
      <c r="T248" s="2"/>
      <c r="X248" s="26"/>
    </row>
    <row r="249" spans="1:24" ht="20.100000000000001" customHeight="1" x14ac:dyDescent="0.3">
      <c r="A249" s="2"/>
      <c r="B249" s="2"/>
      <c r="C249" s="2"/>
      <c r="D249" s="2"/>
      <c r="E249" s="2"/>
      <c r="F249" s="2"/>
      <c r="G249" s="2"/>
      <c r="H249" s="2"/>
      <c r="I249" s="2"/>
      <c r="J249" s="2"/>
      <c r="K249" s="2"/>
      <c r="L249" s="2"/>
      <c r="M249" s="2"/>
      <c r="N249" s="25"/>
      <c r="O249" s="2"/>
      <c r="P249" s="2"/>
      <c r="Q249" s="2"/>
      <c r="R249" s="2"/>
      <c r="S249" s="2"/>
      <c r="T249" s="2"/>
      <c r="X249" s="26"/>
    </row>
    <row r="250" spans="1:24" ht="20.100000000000001" customHeight="1" x14ac:dyDescent="0.3">
      <c r="A250" s="2"/>
      <c r="B250" s="2"/>
      <c r="C250" s="2"/>
      <c r="D250" s="2"/>
      <c r="E250" s="2"/>
      <c r="F250" s="2"/>
      <c r="G250" s="2"/>
      <c r="H250" s="2"/>
      <c r="I250" s="2"/>
      <c r="J250" s="2"/>
      <c r="K250" s="2"/>
      <c r="L250" s="2"/>
      <c r="M250" s="2"/>
      <c r="N250" s="25"/>
      <c r="O250" s="2"/>
      <c r="P250" s="2"/>
      <c r="Q250" s="2"/>
      <c r="R250" s="2"/>
      <c r="S250" s="2"/>
      <c r="T250" s="2"/>
      <c r="X250" s="26"/>
    </row>
    <row r="251" spans="1:24" ht="20.100000000000001" customHeight="1" x14ac:dyDescent="0.3">
      <c r="A251" s="2"/>
      <c r="B251" s="2"/>
      <c r="C251" s="2"/>
      <c r="D251" s="2"/>
      <c r="E251" s="2"/>
      <c r="F251" s="2"/>
      <c r="G251" s="2"/>
      <c r="H251" s="2"/>
      <c r="I251" s="2"/>
      <c r="J251" s="2"/>
      <c r="K251" s="2"/>
      <c r="L251" s="2"/>
      <c r="M251" s="2"/>
      <c r="N251" s="25"/>
      <c r="O251" s="2"/>
      <c r="P251" s="2"/>
      <c r="Q251" s="2"/>
      <c r="R251" s="2"/>
      <c r="S251" s="2"/>
      <c r="T251" s="2"/>
      <c r="X251" s="26"/>
    </row>
    <row r="252" spans="1:24" ht="20.100000000000001" customHeight="1" x14ac:dyDescent="0.3">
      <c r="A252" s="2"/>
      <c r="B252" s="2"/>
      <c r="C252" s="2"/>
      <c r="D252" s="2"/>
      <c r="E252" s="2"/>
      <c r="F252" s="2"/>
      <c r="G252" s="2"/>
      <c r="H252" s="2"/>
      <c r="I252" s="2"/>
      <c r="J252" s="2"/>
      <c r="K252" s="2"/>
      <c r="L252" s="2"/>
      <c r="M252" s="2"/>
      <c r="N252" s="25"/>
      <c r="O252" s="2"/>
      <c r="P252" s="2"/>
      <c r="Q252" s="2"/>
      <c r="R252" s="2"/>
      <c r="S252" s="2"/>
      <c r="T252" s="2"/>
      <c r="X252" s="26"/>
    </row>
    <row r="253" spans="1:24" ht="20.100000000000001" customHeight="1" x14ac:dyDescent="0.3">
      <c r="A253" s="2"/>
      <c r="B253" s="2"/>
      <c r="C253" s="2"/>
      <c r="D253" s="2"/>
      <c r="E253" s="2"/>
      <c r="F253" s="2"/>
      <c r="G253" s="2"/>
      <c r="H253" s="2"/>
      <c r="I253" s="2"/>
      <c r="J253" s="2"/>
      <c r="K253" s="2"/>
      <c r="L253" s="2"/>
      <c r="M253" s="2"/>
      <c r="N253" s="25"/>
      <c r="O253" s="2"/>
      <c r="P253" s="2"/>
      <c r="Q253" s="2"/>
      <c r="R253" s="2"/>
      <c r="S253" s="2"/>
      <c r="T253" s="2"/>
      <c r="X253" s="26"/>
    </row>
    <row r="254" spans="1:24" ht="20.100000000000001" customHeight="1" x14ac:dyDescent="0.3">
      <c r="A254" s="2"/>
      <c r="B254" s="2"/>
      <c r="C254" s="2"/>
      <c r="D254" s="2"/>
      <c r="E254" s="2"/>
      <c r="F254" s="2"/>
      <c r="G254" s="2"/>
      <c r="H254" s="2"/>
      <c r="I254" s="2"/>
      <c r="J254" s="2"/>
      <c r="K254" s="2"/>
      <c r="L254" s="2"/>
      <c r="M254" s="2"/>
      <c r="N254" s="25"/>
      <c r="O254" s="2"/>
      <c r="P254" s="2"/>
      <c r="Q254" s="2"/>
      <c r="R254" s="2"/>
      <c r="S254" s="2"/>
      <c r="T254" s="2"/>
      <c r="X254" s="26"/>
    </row>
    <row r="255" spans="1:24" ht="20.100000000000001" customHeight="1" x14ac:dyDescent="0.3">
      <c r="A255" s="2"/>
      <c r="B255" s="2"/>
      <c r="C255" s="2"/>
      <c r="D255" s="2"/>
      <c r="E255" s="2"/>
      <c r="F255" s="2"/>
      <c r="G255" s="2"/>
      <c r="H255" s="2"/>
      <c r="I255" s="2"/>
      <c r="J255" s="2"/>
      <c r="K255" s="2"/>
      <c r="L255" s="2"/>
      <c r="M255" s="2"/>
      <c r="N255" s="25"/>
      <c r="O255" s="2"/>
      <c r="P255" s="2"/>
      <c r="Q255" s="2"/>
      <c r="R255" s="2"/>
      <c r="S255" s="2"/>
      <c r="T255" s="2"/>
      <c r="X255" s="26"/>
    </row>
    <row r="256" spans="1:24" ht="20.100000000000001" customHeight="1" x14ac:dyDescent="0.3">
      <c r="A256" s="2"/>
      <c r="B256" s="2"/>
      <c r="C256" s="2"/>
      <c r="D256" s="2"/>
      <c r="E256" s="2"/>
      <c r="F256" s="2"/>
      <c r="G256" s="2"/>
      <c r="H256" s="2"/>
      <c r="I256" s="2"/>
      <c r="J256" s="2"/>
      <c r="K256" s="2"/>
      <c r="L256" s="2"/>
      <c r="M256" s="2"/>
      <c r="N256" s="25"/>
      <c r="O256" s="2"/>
      <c r="P256" s="2"/>
      <c r="Q256" s="2"/>
      <c r="R256" s="2"/>
      <c r="S256" s="2"/>
      <c r="T256" s="2"/>
      <c r="X256" s="26"/>
    </row>
    <row r="257" spans="1:24" ht="20.100000000000001" customHeight="1" x14ac:dyDescent="0.3">
      <c r="A257" s="2"/>
      <c r="B257" s="2"/>
      <c r="C257" s="2"/>
      <c r="D257" s="2"/>
      <c r="E257" s="2"/>
      <c r="F257" s="2"/>
      <c r="G257" s="2"/>
      <c r="H257" s="2"/>
      <c r="I257" s="2"/>
      <c r="J257" s="2"/>
      <c r="K257" s="2"/>
      <c r="L257" s="2"/>
      <c r="M257" s="2"/>
      <c r="N257" s="25"/>
      <c r="O257" s="2"/>
      <c r="P257" s="2"/>
      <c r="Q257" s="2"/>
      <c r="R257" s="2"/>
      <c r="S257" s="2"/>
      <c r="T257" s="2"/>
      <c r="X257" s="26"/>
    </row>
    <row r="258" spans="1:24" ht="20.100000000000001" customHeight="1" x14ac:dyDescent="0.3">
      <c r="A258" s="2"/>
      <c r="B258" s="2"/>
      <c r="C258" s="2"/>
      <c r="D258" s="2"/>
      <c r="E258" s="2"/>
      <c r="F258" s="2"/>
      <c r="G258" s="2"/>
      <c r="H258" s="2"/>
      <c r="I258" s="2"/>
      <c r="J258" s="2"/>
      <c r="K258" s="2"/>
      <c r="L258" s="2"/>
      <c r="M258" s="2"/>
      <c r="N258" s="25"/>
      <c r="O258" s="2"/>
      <c r="P258" s="2"/>
      <c r="Q258" s="2"/>
      <c r="R258" s="2"/>
      <c r="S258" s="2"/>
      <c r="T258" s="2"/>
      <c r="X258" s="26"/>
    </row>
    <row r="259" spans="1:24" ht="20.100000000000001" customHeight="1" x14ac:dyDescent="0.3">
      <c r="A259" s="2"/>
      <c r="B259" s="2"/>
      <c r="C259" s="2"/>
      <c r="D259" s="2"/>
      <c r="E259" s="2"/>
      <c r="F259" s="2"/>
      <c r="G259" s="2"/>
      <c r="H259" s="2"/>
      <c r="I259" s="2"/>
      <c r="J259" s="2"/>
      <c r="K259" s="2"/>
      <c r="L259" s="2"/>
      <c r="M259" s="2"/>
      <c r="N259" s="25"/>
      <c r="O259" s="2"/>
      <c r="P259" s="2"/>
      <c r="Q259" s="2"/>
      <c r="R259" s="2"/>
      <c r="S259" s="2"/>
      <c r="T259" s="2"/>
      <c r="X259" s="26"/>
    </row>
    <row r="260" spans="1:24" ht="20.100000000000001" customHeight="1" x14ac:dyDescent="0.3">
      <c r="A260" s="2"/>
      <c r="B260" s="2"/>
      <c r="C260" s="2"/>
      <c r="D260" s="2"/>
      <c r="E260" s="2"/>
      <c r="F260" s="2"/>
      <c r="G260" s="2"/>
      <c r="H260" s="2"/>
      <c r="I260" s="2"/>
      <c r="J260" s="2"/>
      <c r="K260" s="2"/>
      <c r="L260" s="2"/>
      <c r="M260" s="2"/>
      <c r="N260" s="25"/>
      <c r="O260" s="2"/>
      <c r="P260" s="2"/>
      <c r="Q260" s="2"/>
      <c r="R260" s="2"/>
      <c r="S260" s="2"/>
      <c r="T260" s="2"/>
      <c r="X260" s="26"/>
    </row>
    <row r="261" spans="1:24" ht="20.100000000000001" customHeight="1" x14ac:dyDescent="0.3">
      <c r="A261" s="2"/>
      <c r="B261" s="2"/>
      <c r="C261" s="2"/>
      <c r="D261" s="2"/>
      <c r="E261" s="2"/>
      <c r="F261" s="2"/>
      <c r="G261" s="2"/>
      <c r="H261" s="2"/>
      <c r="I261" s="2"/>
      <c r="J261" s="2"/>
      <c r="K261" s="2"/>
      <c r="L261" s="2"/>
      <c r="M261" s="2"/>
      <c r="N261" s="25"/>
      <c r="O261" s="2"/>
      <c r="P261" s="2"/>
      <c r="Q261" s="2"/>
      <c r="R261" s="2"/>
      <c r="S261" s="2"/>
      <c r="T261" s="2"/>
      <c r="X261" s="26"/>
    </row>
    <row r="262" spans="1:24" ht="20.100000000000001" customHeight="1" x14ac:dyDescent="0.3">
      <c r="A262" s="2"/>
      <c r="B262" s="2"/>
      <c r="C262" s="2"/>
      <c r="D262" s="2"/>
      <c r="E262" s="2"/>
      <c r="F262" s="2"/>
      <c r="G262" s="2"/>
      <c r="H262" s="2"/>
      <c r="I262" s="2"/>
      <c r="J262" s="2"/>
      <c r="K262" s="2"/>
      <c r="L262" s="2"/>
      <c r="M262" s="2"/>
      <c r="N262" s="25"/>
      <c r="O262" s="2"/>
      <c r="P262" s="2"/>
      <c r="Q262" s="2"/>
      <c r="R262" s="2"/>
      <c r="S262" s="2"/>
      <c r="T262" s="2"/>
      <c r="X262" s="26"/>
    </row>
    <row r="263" spans="1:24" ht="20.100000000000001" customHeight="1" x14ac:dyDescent="0.3">
      <c r="A263" s="2"/>
      <c r="B263" s="2"/>
      <c r="C263" s="2"/>
      <c r="D263" s="2"/>
      <c r="E263" s="2"/>
      <c r="F263" s="2"/>
      <c r="G263" s="2"/>
      <c r="H263" s="2"/>
      <c r="I263" s="2"/>
      <c r="J263" s="2"/>
      <c r="K263" s="2"/>
      <c r="L263" s="2"/>
      <c r="M263" s="2"/>
      <c r="N263" s="25"/>
      <c r="O263" s="2"/>
      <c r="P263" s="2"/>
      <c r="Q263" s="2"/>
      <c r="R263" s="2"/>
      <c r="S263" s="2"/>
      <c r="T263" s="2"/>
      <c r="X263" s="26"/>
    </row>
    <row r="264" spans="1:24" ht="20.100000000000001" customHeight="1" x14ac:dyDescent="0.3">
      <c r="A264" s="2"/>
      <c r="B264" s="2"/>
      <c r="C264" s="2"/>
      <c r="D264" s="2"/>
      <c r="E264" s="2"/>
      <c r="F264" s="2"/>
      <c r="G264" s="2"/>
      <c r="H264" s="2"/>
      <c r="I264" s="2"/>
      <c r="J264" s="2"/>
      <c r="K264" s="2"/>
      <c r="L264" s="2"/>
      <c r="M264" s="2"/>
      <c r="N264" s="25"/>
      <c r="O264" s="2"/>
      <c r="P264" s="2"/>
      <c r="Q264" s="2"/>
      <c r="R264" s="2"/>
      <c r="S264" s="2"/>
      <c r="T264" s="2"/>
      <c r="X264" s="26"/>
    </row>
    <row r="265" spans="1:24" ht="20.100000000000001" customHeight="1" x14ac:dyDescent="0.3">
      <c r="A265" s="2"/>
      <c r="B265" s="2"/>
      <c r="C265" s="2"/>
      <c r="D265" s="2"/>
      <c r="E265" s="2"/>
      <c r="F265" s="2"/>
      <c r="G265" s="2"/>
      <c r="H265" s="2"/>
      <c r="I265" s="2"/>
      <c r="J265" s="2"/>
      <c r="K265" s="2"/>
      <c r="L265" s="2"/>
      <c r="M265" s="2"/>
      <c r="N265" s="25"/>
      <c r="O265" s="2"/>
      <c r="P265" s="2"/>
      <c r="Q265" s="2"/>
      <c r="R265" s="2"/>
      <c r="S265" s="2"/>
      <c r="T265" s="2"/>
      <c r="X265" s="26"/>
    </row>
    <row r="266" spans="1:24" ht="20.100000000000001" customHeight="1" x14ac:dyDescent="0.3">
      <c r="A266" s="2"/>
      <c r="B266" s="2"/>
      <c r="C266" s="2"/>
      <c r="D266" s="2"/>
      <c r="E266" s="2"/>
      <c r="F266" s="2"/>
      <c r="G266" s="2"/>
      <c r="H266" s="2"/>
      <c r="I266" s="2"/>
      <c r="J266" s="2"/>
      <c r="K266" s="2"/>
      <c r="L266" s="2"/>
      <c r="M266" s="2"/>
      <c r="N266" s="25"/>
      <c r="O266" s="2"/>
      <c r="P266" s="2"/>
      <c r="Q266" s="2"/>
      <c r="R266" s="2"/>
      <c r="S266" s="2"/>
      <c r="T266" s="2"/>
      <c r="X266" s="26"/>
    </row>
    <row r="267" spans="1:24" ht="20.100000000000001" customHeight="1" x14ac:dyDescent="0.3">
      <c r="A267" s="2"/>
      <c r="B267" s="2"/>
      <c r="C267" s="2"/>
      <c r="D267" s="2"/>
      <c r="E267" s="2"/>
      <c r="F267" s="2"/>
      <c r="G267" s="2"/>
      <c r="H267" s="2"/>
      <c r="I267" s="2"/>
      <c r="J267" s="2"/>
      <c r="K267" s="2"/>
      <c r="L267" s="2"/>
      <c r="M267" s="2"/>
      <c r="N267" s="25"/>
      <c r="O267" s="2"/>
      <c r="P267" s="2"/>
      <c r="Q267" s="2"/>
      <c r="R267" s="2"/>
      <c r="S267" s="2"/>
      <c r="T267" s="2"/>
      <c r="X267" s="26"/>
    </row>
    <row r="268" spans="1:24" ht="20.100000000000001" customHeight="1" x14ac:dyDescent="0.3">
      <c r="A268" s="2"/>
      <c r="B268" s="2"/>
      <c r="C268" s="2"/>
      <c r="D268" s="2"/>
      <c r="E268" s="2"/>
      <c r="F268" s="2"/>
      <c r="G268" s="2"/>
      <c r="H268" s="2"/>
      <c r="I268" s="2"/>
      <c r="J268" s="2"/>
      <c r="K268" s="2"/>
      <c r="L268" s="2"/>
      <c r="M268" s="2"/>
      <c r="N268" s="25"/>
      <c r="O268" s="2"/>
      <c r="P268" s="2"/>
      <c r="Q268" s="2"/>
      <c r="R268" s="2"/>
      <c r="S268" s="2"/>
      <c r="T268" s="2"/>
      <c r="X268" s="26"/>
    </row>
    <row r="269" spans="1:24" ht="20.100000000000001" customHeight="1" x14ac:dyDescent="0.3">
      <c r="A269" s="2"/>
      <c r="B269" s="2"/>
      <c r="C269" s="2"/>
      <c r="D269" s="2"/>
      <c r="E269" s="2"/>
      <c r="F269" s="2"/>
      <c r="G269" s="2"/>
      <c r="H269" s="2"/>
      <c r="I269" s="2"/>
      <c r="J269" s="2"/>
      <c r="K269" s="2"/>
      <c r="L269" s="2"/>
      <c r="M269" s="2"/>
      <c r="N269" s="25"/>
      <c r="O269" s="2"/>
      <c r="P269" s="2"/>
      <c r="Q269" s="2"/>
      <c r="R269" s="2"/>
      <c r="S269" s="2"/>
      <c r="T269" s="2"/>
      <c r="X269" s="26"/>
    </row>
    <row r="270" spans="1:24" ht="20.100000000000001" customHeight="1" x14ac:dyDescent="0.3">
      <c r="A270" s="2"/>
      <c r="B270" s="2"/>
      <c r="C270" s="2"/>
      <c r="D270" s="2"/>
      <c r="E270" s="2"/>
      <c r="F270" s="2"/>
      <c r="G270" s="2"/>
      <c r="H270" s="2"/>
      <c r="I270" s="2"/>
      <c r="J270" s="2"/>
      <c r="K270" s="2"/>
      <c r="L270" s="2"/>
      <c r="M270" s="2"/>
      <c r="N270" s="25"/>
      <c r="O270" s="2"/>
      <c r="P270" s="2"/>
      <c r="Q270" s="2"/>
      <c r="R270" s="2"/>
      <c r="S270" s="2"/>
      <c r="T270" s="2"/>
      <c r="X270" s="26"/>
    </row>
    <row r="271" spans="1:24" ht="20.100000000000001" customHeight="1" x14ac:dyDescent="0.3">
      <c r="A271" s="2"/>
      <c r="B271" s="2"/>
      <c r="C271" s="2"/>
      <c r="D271" s="2"/>
      <c r="E271" s="2"/>
      <c r="F271" s="2"/>
      <c r="G271" s="2"/>
      <c r="H271" s="2"/>
      <c r="I271" s="2"/>
      <c r="J271" s="2"/>
      <c r="K271" s="2"/>
      <c r="L271" s="2"/>
      <c r="M271" s="2"/>
      <c r="N271" s="25"/>
      <c r="O271" s="2"/>
      <c r="P271" s="2"/>
      <c r="Q271" s="2"/>
      <c r="R271" s="2"/>
      <c r="S271" s="2"/>
      <c r="T271" s="2"/>
      <c r="X271" s="26"/>
    </row>
    <row r="272" spans="1:24" ht="20.100000000000001" customHeight="1" x14ac:dyDescent="0.3">
      <c r="A272" s="2"/>
      <c r="B272" s="2"/>
      <c r="C272" s="2"/>
      <c r="D272" s="2"/>
      <c r="E272" s="2"/>
      <c r="F272" s="2"/>
      <c r="G272" s="2"/>
      <c r="H272" s="2"/>
      <c r="I272" s="2"/>
      <c r="J272" s="2"/>
      <c r="K272" s="2"/>
      <c r="L272" s="2"/>
      <c r="M272" s="2"/>
      <c r="N272" s="25"/>
      <c r="O272" s="2"/>
      <c r="P272" s="2"/>
      <c r="Q272" s="2"/>
      <c r="R272" s="2"/>
      <c r="S272" s="2"/>
      <c r="T272" s="2"/>
      <c r="X272" s="26"/>
    </row>
    <row r="273" spans="1:24" ht="20.100000000000001" customHeight="1" x14ac:dyDescent="0.3">
      <c r="A273" s="2"/>
      <c r="B273" s="2"/>
      <c r="C273" s="2"/>
      <c r="D273" s="2"/>
      <c r="E273" s="2"/>
      <c r="F273" s="2"/>
      <c r="G273" s="2"/>
      <c r="H273" s="2"/>
      <c r="I273" s="2"/>
      <c r="J273" s="2"/>
      <c r="K273" s="2"/>
      <c r="L273" s="2"/>
      <c r="M273" s="2"/>
      <c r="N273" s="25"/>
      <c r="O273" s="2"/>
      <c r="P273" s="2"/>
      <c r="Q273" s="2"/>
      <c r="R273" s="2"/>
      <c r="S273" s="2"/>
      <c r="T273" s="2"/>
      <c r="X273" s="26"/>
    </row>
    <row r="274" spans="1:24" ht="20.100000000000001" customHeight="1" x14ac:dyDescent="0.3">
      <c r="A274" s="2"/>
      <c r="B274" s="2"/>
      <c r="C274" s="2"/>
      <c r="D274" s="2"/>
      <c r="E274" s="2"/>
      <c r="F274" s="2"/>
      <c r="G274" s="2"/>
      <c r="H274" s="2"/>
      <c r="I274" s="2"/>
      <c r="J274" s="2"/>
      <c r="K274" s="2"/>
      <c r="L274" s="2"/>
      <c r="M274" s="2"/>
      <c r="N274" s="25"/>
      <c r="O274" s="2"/>
      <c r="P274" s="2"/>
      <c r="Q274" s="2"/>
      <c r="R274" s="2"/>
      <c r="S274" s="2"/>
      <c r="T274" s="2"/>
      <c r="X274" s="26"/>
    </row>
    <row r="275" spans="1:24" ht="20.100000000000001" customHeight="1" x14ac:dyDescent="0.3">
      <c r="A275" s="2"/>
      <c r="B275" s="2"/>
      <c r="C275" s="2"/>
      <c r="D275" s="2"/>
      <c r="E275" s="2"/>
      <c r="F275" s="2"/>
      <c r="G275" s="2"/>
      <c r="H275" s="2"/>
      <c r="I275" s="2"/>
      <c r="J275" s="2"/>
      <c r="K275" s="2"/>
      <c r="L275" s="2"/>
      <c r="M275" s="2"/>
      <c r="N275" s="25"/>
      <c r="O275" s="2"/>
      <c r="P275" s="2"/>
      <c r="Q275" s="2"/>
      <c r="R275" s="2"/>
      <c r="S275" s="2"/>
      <c r="T275" s="2"/>
      <c r="X275" s="26"/>
    </row>
    <row r="276" spans="1:24" ht="20.100000000000001" customHeight="1" x14ac:dyDescent="0.3">
      <c r="A276" s="2"/>
      <c r="B276" s="2"/>
      <c r="C276" s="2"/>
      <c r="D276" s="2"/>
      <c r="E276" s="2"/>
      <c r="F276" s="2"/>
      <c r="G276" s="2"/>
      <c r="H276" s="2"/>
      <c r="I276" s="2"/>
      <c r="J276" s="2"/>
      <c r="K276" s="2"/>
      <c r="L276" s="2"/>
      <c r="M276" s="2"/>
      <c r="N276" s="25"/>
      <c r="O276" s="2"/>
      <c r="P276" s="2"/>
      <c r="Q276" s="2"/>
      <c r="R276" s="2"/>
      <c r="S276" s="2"/>
      <c r="T276" s="2"/>
      <c r="X276" s="26"/>
    </row>
    <row r="277" spans="1:24" ht="20.100000000000001" customHeight="1" x14ac:dyDescent="0.3">
      <c r="A277" s="2"/>
      <c r="B277" s="2"/>
      <c r="C277" s="2"/>
      <c r="D277" s="2"/>
      <c r="E277" s="2"/>
      <c r="F277" s="2"/>
      <c r="G277" s="2"/>
      <c r="H277" s="2"/>
      <c r="I277" s="2"/>
      <c r="J277" s="2"/>
      <c r="K277" s="2"/>
      <c r="L277" s="2"/>
      <c r="M277" s="2"/>
      <c r="N277" s="25"/>
      <c r="O277" s="2"/>
      <c r="P277" s="2"/>
      <c r="Q277" s="2"/>
      <c r="R277" s="2"/>
      <c r="S277" s="2"/>
      <c r="T277" s="2"/>
      <c r="X277" s="26"/>
    </row>
    <row r="278" spans="1:24" ht="20.100000000000001" customHeight="1" x14ac:dyDescent="0.3">
      <c r="A278" s="2"/>
      <c r="B278" s="2"/>
      <c r="C278" s="2"/>
      <c r="D278" s="2"/>
      <c r="E278" s="2"/>
      <c r="F278" s="2"/>
      <c r="G278" s="2"/>
      <c r="H278" s="2"/>
      <c r="I278" s="2"/>
      <c r="J278" s="2"/>
      <c r="K278" s="2"/>
      <c r="L278" s="2"/>
      <c r="M278" s="2"/>
      <c r="N278" s="25"/>
      <c r="O278" s="2"/>
      <c r="P278" s="2"/>
      <c r="Q278" s="2"/>
      <c r="R278" s="2"/>
      <c r="S278" s="2"/>
      <c r="T278" s="2"/>
      <c r="X278" s="26"/>
    </row>
    <row r="279" spans="1:24" ht="20.100000000000001" customHeight="1" x14ac:dyDescent="0.3">
      <c r="A279" s="2"/>
      <c r="B279" s="2"/>
      <c r="C279" s="2"/>
      <c r="D279" s="2"/>
      <c r="E279" s="2"/>
      <c r="F279" s="2"/>
      <c r="G279" s="2"/>
      <c r="H279" s="2"/>
      <c r="I279" s="2"/>
      <c r="J279" s="2"/>
      <c r="K279" s="2"/>
      <c r="L279" s="2"/>
      <c r="M279" s="2"/>
      <c r="N279" s="25"/>
      <c r="O279" s="2"/>
      <c r="P279" s="2"/>
      <c r="Q279" s="2"/>
      <c r="R279" s="2"/>
      <c r="S279" s="2"/>
      <c r="T279" s="2"/>
      <c r="X279" s="26"/>
    </row>
    <row r="280" spans="1:24" ht="20.100000000000001" customHeight="1" x14ac:dyDescent="0.3">
      <c r="A280" s="2"/>
      <c r="B280" s="2"/>
      <c r="C280" s="2"/>
      <c r="D280" s="2"/>
      <c r="E280" s="2"/>
      <c r="F280" s="2"/>
      <c r="G280" s="2"/>
      <c r="H280" s="2"/>
      <c r="I280" s="2"/>
      <c r="J280" s="2"/>
      <c r="K280" s="2"/>
      <c r="L280" s="2"/>
      <c r="M280" s="2"/>
      <c r="N280" s="25"/>
      <c r="O280" s="2"/>
      <c r="P280" s="2"/>
      <c r="Q280" s="2"/>
      <c r="R280" s="2"/>
      <c r="S280" s="2"/>
      <c r="T280" s="2"/>
      <c r="X280" s="26"/>
    </row>
    <row r="281" spans="1:24" ht="20.100000000000001" customHeight="1" x14ac:dyDescent="0.3">
      <c r="A281" s="2"/>
      <c r="B281" s="2"/>
      <c r="C281" s="2"/>
      <c r="D281" s="2"/>
      <c r="E281" s="2"/>
      <c r="F281" s="2"/>
      <c r="G281" s="2"/>
      <c r="H281" s="2"/>
      <c r="I281" s="2"/>
      <c r="J281" s="2"/>
      <c r="K281" s="2"/>
      <c r="L281" s="2"/>
      <c r="M281" s="2"/>
      <c r="N281" s="25"/>
      <c r="O281" s="2"/>
      <c r="P281" s="2"/>
      <c r="Q281" s="2"/>
      <c r="R281" s="2"/>
      <c r="S281" s="2"/>
      <c r="T281" s="2"/>
      <c r="X281" s="26"/>
    </row>
    <row r="282" spans="1:24" ht="20.100000000000001" customHeight="1" x14ac:dyDescent="0.3">
      <c r="A282" s="2"/>
      <c r="B282" s="2"/>
      <c r="C282" s="2"/>
      <c r="D282" s="2"/>
      <c r="E282" s="2"/>
      <c r="F282" s="2"/>
      <c r="G282" s="2"/>
      <c r="H282" s="2"/>
      <c r="I282" s="2"/>
      <c r="J282" s="2"/>
      <c r="K282" s="2"/>
      <c r="L282" s="2"/>
      <c r="M282" s="2"/>
      <c r="N282" s="25"/>
      <c r="O282" s="2"/>
      <c r="P282" s="2"/>
      <c r="Q282" s="2"/>
      <c r="R282" s="2"/>
      <c r="S282" s="2"/>
      <c r="T282" s="2"/>
      <c r="X282" s="26"/>
    </row>
    <row r="283" spans="1:24" ht="20.100000000000001" customHeight="1" x14ac:dyDescent="0.3">
      <c r="A283" s="2"/>
      <c r="B283" s="2"/>
      <c r="C283" s="2"/>
      <c r="D283" s="2"/>
      <c r="E283" s="2"/>
      <c r="F283" s="2"/>
      <c r="G283" s="2"/>
      <c r="H283" s="2"/>
      <c r="I283" s="2"/>
      <c r="J283" s="2"/>
      <c r="K283" s="2"/>
      <c r="L283" s="2"/>
      <c r="M283" s="2"/>
      <c r="N283" s="25"/>
      <c r="O283" s="2"/>
      <c r="P283" s="2"/>
      <c r="Q283" s="2"/>
      <c r="R283" s="2"/>
      <c r="S283" s="2"/>
      <c r="T283" s="2"/>
      <c r="X283" s="26"/>
    </row>
    <row r="284" spans="1:24" ht="20.100000000000001" customHeight="1" x14ac:dyDescent="0.3">
      <c r="A284" s="2"/>
      <c r="B284" s="2"/>
      <c r="C284" s="2"/>
      <c r="D284" s="2"/>
      <c r="E284" s="2"/>
      <c r="F284" s="2"/>
      <c r="G284" s="2"/>
      <c r="H284" s="2"/>
      <c r="I284" s="2"/>
      <c r="J284" s="2"/>
      <c r="K284" s="2"/>
      <c r="L284" s="2"/>
      <c r="M284" s="2"/>
      <c r="N284" s="25"/>
      <c r="O284" s="2"/>
      <c r="P284" s="2"/>
      <c r="Q284" s="2"/>
      <c r="R284" s="2"/>
      <c r="S284" s="2"/>
      <c r="T284" s="2"/>
      <c r="X284" s="26"/>
    </row>
    <row r="285" spans="1:24" ht="20.100000000000001" customHeight="1" x14ac:dyDescent="0.3">
      <c r="A285" s="2"/>
      <c r="B285" s="2"/>
      <c r="C285" s="2"/>
      <c r="D285" s="2"/>
      <c r="E285" s="2"/>
      <c r="F285" s="2"/>
      <c r="G285" s="2"/>
      <c r="H285" s="2"/>
      <c r="I285" s="2"/>
      <c r="J285" s="2"/>
      <c r="K285" s="2"/>
      <c r="L285" s="2"/>
      <c r="M285" s="2"/>
      <c r="N285" s="25"/>
      <c r="O285" s="2"/>
      <c r="P285" s="2"/>
      <c r="Q285" s="2"/>
      <c r="R285" s="2"/>
      <c r="S285" s="2"/>
      <c r="T285" s="2"/>
      <c r="X285" s="26"/>
    </row>
    <row r="286" spans="1:24" ht="20.100000000000001" customHeight="1" x14ac:dyDescent="0.3">
      <c r="A286" s="2"/>
      <c r="B286" s="2"/>
      <c r="C286" s="2"/>
      <c r="D286" s="2"/>
      <c r="E286" s="2"/>
      <c r="F286" s="2"/>
      <c r="G286" s="2"/>
      <c r="H286" s="2"/>
      <c r="I286" s="2"/>
      <c r="J286" s="2"/>
      <c r="K286" s="2"/>
      <c r="L286" s="2"/>
      <c r="M286" s="2"/>
      <c r="N286" s="25"/>
      <c r="O286" s="2"/>
      <c r="P286" s="2"/>
      <c r="Q286" s="2"/>
      <c r="R286" s="2"/>
      <c r="S286" s="2"/>
      <c r="T286" s="2"/>
      <c r="X286" s="26"/>
    </row>
    <row r="287" spans="1:24" ht="20.100000000000001" customHeight="1" x14ac:dyDescent="0.3">
      <c r="A287" s="2"/>
      <c r="B287" s="2"/>
      <c r="C287" s="2"/>
      <c r="D287" s="2"/>
      <c r="E287" s="2"/>
      <c r="F287" s="2"/>
      <c r="G287" s="2"/>
      <c r="H287" s="2"/>
      <c r="I287" s="2"/>
      <c r="J287" s="2"/>
      <c r="K287" s="2"/>
      <c r="L287" s="2"/>
      <c r="M287" s="2"/>
      <c r="N287" s="25"/>
      <c r="O287" s="2"/>
      <c r="P287" s="2"/>
      <c r="Q287" s="2"/>
      <c r="R287" s="2"/>
      <c r="S287" s="2"/>
      <c r="T287" s="2"/>
      <c r="X287" s="26"/>
    </row>
    <row r="288" spans="1:24" ht="20.100000000000001" customHeight="1" x14ac:dyDescent="0.3">
      <c r="A288" s="2"/>
      <c r="B288" s="2"/>
      <c r="C288" s="2"/>
      <c r="D288" s="2"/>
      <c r="E288" s="2"/>
      <c r="F288" s="2"/>
      <c r="G288" s="2"/>
      <c r="H288" s="2"/>
      <c r="I288" s="2"/>
      <c r="J288" s="2"/>
      <c r="K288" s="2"/>
      <c r="L288" s="2"/>
      <c r="M288" s="2"/>
      <c r="N288" s="25"/>
      <c r="O288" s="2"/>
      <c r="P288" s="2"/>
      <c r="Q288" s="2"/>
      <c r="R288" s="2"/>
      <c r="S288" s="2"/>
      <c r="T288" s="2"/>
      <c r="X288" s="26"/>
    </row>
    <row r="289" spans="1:24" ht="20.100000000000001" customHeight="1" x14ac:dyDescent="0.3">
      <c r="A289" s="2"/>
      <c r="B289" s="2"/>
      <c r="C289" s="2"/>
      <c r="D289" s="2"/>
      <c r="E289" s="2"/>
      <c r="F289" s="2"/>
      <c r="G289" s="2"/>
      <c r="H289" s="2"/>
      <c r="I289" s="2"/>
      <c r="J289" s="2"/>
      <c r="K289" s="2"/>
      <c r="L289" s="2"/>
      <c r="M289" s="2"/>
      <c r="N289" s="25"/>
      <c r="O289" s="2"/>
      <c r="P289" s="2"/>
      <c r="Q289" s="2"/>
      <c r="R289" s="2"/>
      <c r="S289" s="2"/>
      <c r="T289" s="2"/>
      <c r="X289" s="26"/>
    </row>
    <row r="290" spans="1:24" ht="20.100000000000001" customHeight="1" x14ac:dyDescent="0.3">
      <c r="A290" s="2"/>
      <c r="B290" s="2"/>
      <c r="C290" s="2"/>
      <c r="D290" s="2"/>
      <c r="E290" s="2"/>
      <c r="F290" s="2"/>
      <c r="G290" s="2"/>
      <c r="H290" s="2"/>
      <c r="I290" s="2"/>
      <c r="J290" s="2"/>
      <c r="K290" s="2"/>
      <c r="L290" s="2"/>
      <c r="M290" s="2"/>
      <c r="N290" s="25"/>
      <c r="O290" s="2"/>
      <c r="P290" s="2"/>
      <c r="Q290" s="2"/>
      <c r="R290" s="2"/>
      <c r="S290" s="2"/>
      <c r="T290" s="2"/>
      <c r="X290" s="26"/>
    </row>
    <row r="291" spans="1:24" ht="20.100000000000001" customHeight="1" x14ac:dyDescent="0.3">
      <c r="A291" s="2"/>
      <c r="B291" s="2"/>
      <c r="C291" s="2"/>
      <c r="D291" s="2"/>
      <c r="E291" s="2"/>
      <c r="F291" s="2"/>
      <c r="G291" s="2"/>
      <c r="H291" s="2"/>
      <c r="I291" s="2"/>
      <c r="J291" s="2"/>
      <c r="K291" s="2"/>
      <c r="L291" s="2"/>
      <c r="M291" s="2"/>
      <c r="N291" s="25"/>
      <c r="O291" s="2"/>
      <c r="P291" s="2"/>
      <c r="Q291" s="2"/>
      <c r="R291" s="2"/>
      <c r="S291" s="2"/>
      <c r="T291" s="2"/>
      <c r="X291" s="26"/>
    </row>
    <row r="292" spans="1:24" ht="20.100000000000001" customHeight="1" x14ac:dyDescent="0.3">
      <c r="A292" s="2"/>
      <c r="B292" s="2"/>
      <c r="C292" s="2"/>
      <c r="D292" s="2"/>
      <c r="E292" s="2"/>
      <c r="F292" s="2"/>
      <c r="G292" s="2"/>
      <c r="H292" s="2"/>
      <c r="I292" s="2"/>
      <c r="J292" s="2"/>
      <c r="K292" s="2"/>
      <c r="L292" s="2"/>
      <c r="M292" s="2"/>
      <c r="N292" s="25"/>
      <c r="O292" s="2"/>
      <c r="P292" s="2"/>
      <c r="Q292" s="2"/>
      <c r="R292" s="2"/>
      <c r="S292" s="2"/>
      <c r="T292" s="2"/>
      <c r="X292" s="26"/>
    </row>
    <row r="293" spans="1:24" ht="20.100000000000001" customHeight="1" x14ac:dyDescent="0.3">
      <c r="A293" s="2"/>
      <c r="B293" s="2"/>
      <c r="C293" s="2"/>
      <c r="D293" s="2"/>
      <c r="E293" s="2"/>
      <c r="F293" s="2"/>
      <c r="G293" s="2"/>
      <c r="H293" s="2"/>
      <c r="I293" s="2"/>
      <c r="J293" s="2"/>
      <c r="K293" s="2"/>
      <c r="L293" s="2"/>
      <c r="M293" s="2"/>
      <c r="N293" s="25"/>
      <c r="O293" s="2"/>
      <c r="P293" s="2"/>
      <c r="Q293" s="2"/>
      <c r="R293" s="2"/>
      <c r="S293" s="2"/>
      <c r="T293" s="2"/>
      <c r="X293" s="26"/>
    </row>
    <row r="294" spans="1:24" ht="20.100000000000001" customHeight="1" x14ac:dyDescent="0.3">
      <c r="X294" s="26"/>
    </row>
    <row r="295" spans="1:24" ht="20.100000000000001" customHeight="1" x14ac:dyDescent="0.3">
      <c r="X295" s="26"/>
    </row>
    <row r="296" spans="1:24" ht="20.100000000000001" customHeight="1" x14ac:dyDescent="0.3">
      <c r="X296" s="26"/>
    </row>
    <row r="297" spans="1:24" ht="20.100000000000001" customHeight="1" x14ac:dyDescent="0.3">
      <c r="X297" s="26"/>
    </row>
    <row r="298" spans="1:24" ht="20.100000000000001" customHeight="1" x14ac:dyDescent="0.3">
      <c r="X298" s="26"/>
    </row>
    <row r="299" spans="1:24" ht="20.100000000000001" customHeight="1" x14ac:dyDescent="0.3">
      <c r="X299" s="26"/>
    </row>
    <row r="300" spans="1:24" ht="20.100000000000001" customHeight="1" x14ac:dyDescent="0.3">
      <c r="X300" s="26"/>
    </row>
    <row r="301" spans="1:24" ht="20.100000000000001" customHeight="1" x14ac:dyDescent="0.3">
      <c r="X301" s="26"/>
    </row>
    <row r="302" spans="1:24" ht="20.100000000000001" customHeight="1" x14ac:dyDescent="0.3">
      <c r="X302" s="26"/>
    </row>
    <row r="303" spans="1:24" ht="20.100000000000001" customHeight="1" x14ac:dyDescent="0.3">
      <c r="X303" s="26"/>
    </row>
    <row r="304" spans="1:24" ht="20.100000000000001" customHeight="1" x14ac:dyDescent="0.3">
      <c r="X304" s="26"/>
    </row>
    <row r="305" spans="24:24" ht="20.100000000000001" customHeight="1" x14ac:dyDescent="0.3">
      <c r="X305" s="26"/>
    </row>
    <row r="306" spans="24:24" ht="20.100000000000001" customHeight="1" x14ac:dyDescent="0.3">
      <c r="X306" s="26"/>
    </row>
    <row r="307" spans="24:24" ht="20.100000000000001" customHeight="1" x14ac:dyDescent="0.3">
      <c r="X307" s="26"/>
    </row>
    <row r="308" spans="24:24" ht="20.100000000000001" customHeight="1" x14ac:dyDescent="0.3">
      <c r="X308" s="26"/>
    </row>
    <row r="309" spans="24:24" ht="20.100000000000001" customHeight="1" x14ac:dyDescent="0.3">
      <c r="X309" s="26"/>
    </row>
    <row r="310" spans="24:24" ht="20.100000000000001" customHeight="1" x14ac:dyDescent="0.3">
      <c r="X310" s="26"/>
    </row>
    <row r="311" spans="24:24" ht="20.100000000000001" customHeight="1" x14ac:dyDescent="0.3">
      <c r="X311" s="26"/>
    </row>
    <row r="312" spans="24:24" ht="20.100000000000001" customHeight="1" x14ac:dyDescent="0.3">
      <c r="X312" s="26"/>
    </row>
    <row r="313" spans="24:24" ht="20.100000000000001" customHeight="1" x14ac:dyDescent="0.3">
      <c r="X313" s="26"/>
    </row>
    <row r="314" spans="24:24" ht="20.100000000000001" customHeight="1" x14ac:dyDescent="0.3">
      <c r="X314" s="26"/>
    </row>
    <row r="315" spans="24:24" ht="20.100000000000001" customHeight="1" x14ac:dyDescent="0.3">
      <c r="X315" s="26"/>
    </row>
    <row r="316" spans="24:24" ht="20.100000000000001" customHeight="1" x14ac:dyDescent="0.3">
      <c r="X316" s="26"/>
    </row>
    <row r="317" spans="24:24" ht="20.100000000000001" customHeight="1" x14ac:dyDescent="0.3">
      <c r="X317" s="26"/>
    </row>
    <row r="318" spans="24:24" ht="20.100000000000001" customHeight="1" x14ac:dyDescent="0.3">
      <c r="X318" s="26"/>
    </row>
    <row r="319" spans="24:24" ht="20.100000000000001" customHeight="1" x14ac:dyDescent="0.3">
      <c r="X319" s="26"/>
    </row>
    <row r="320" spans="24:24" ht="20.100000000000001" customHeight="1" x14ac:dyDescent="0.3">
      <c r="X320" s="26"/>
    </row>
    <row r="321" spans="24:24" ht="20.100000000000001" customHeight="1" x14ac:dyDescent="0.3">
      <c r="X321" s="26"/>
    </row>
    <row r="322" spans="24:24" ht="20.100000000000001" customHeight="1" x14ac:dyDescent="0.3">
      <c r="X322" s="26"/>
    </row>
    <row r="323" spans="24:24" ht="20.100000000000001" customHeight="1" x14ac:dyDescent="0.3">
      <c r="X323" s="26"/>
    </row>
    <row r="324" spans="24:24" ht="20.100000000000001" customHeight="1" x14ac:dyDescent="0.3">
      <c r="X324" s="26"/>
    </row>
    <row r="325" spans="24:24" ht="20.100000000000001" customHeight="1" x14ac:dyDescent="0.3">
      <c r="X325" s="26"/>
    </row>
    <row r="326" spans="24:24" ht="20.100000000000001" customHeight="1" x14ac:dyDescent="0.3">
      <c r="X326" s="26"/>
    </row>
    <row r="327" spans="24:24" ht="20.100000000000001" customHeight="1" x14ac:dyDescent="0.3">
      <c r="X327" s="26"/>
    </row>
    <row r="328" spans="24:24" ht="20.100000000000001" customHeight="1" x14ac:dyDescent="0.3">
      <c r="X328" s="26"/>
    </row>
    <row r="329" spans="24:24" ht="20.100000000000001" customHeight="1" x14ac:dyDescent="0.3">
      <c r="X329" s="26"/>
    </row>
    <row r="330" spans="24:24" ht="20.100000000000001" customHeight="1" x14ac:dyDescent="0.3">
      <c r="X330" s="26"/>
    </row>
    <row r="331" spans="24:24" ht="20.100000000000001" customHeight="1" x14ac:dyDescent="0.3">
      <c r="X331" s="26"/>
    </row>
    <row r="332" spans="24:24" ht="20.100000000000001" customHeight="1" x14ac:dyDescent="0.3">
      <c r="X332" s="26"/>
    </row>
    <row r="333" spans="24:24" ht="20.100000000000001" customHeight="1" x14ac:dyDescent="0.3">
      <c r="X333" s="26"/>
    </row>
    <row r="334" spans="24:24" ht="20.100000000000001" customHeight="1" x14ac:dyDescent="0.3">
      <c r="X334" s="26"/>
    </row>
    <row r="335" spans="24:24" ht="20.100000000000001" customHeight="1" x14ac:dyDescent="0.3">
      <c r="X335" s="26"/>
    </row>
    <row r="336" spans="24:24" ht="20.100000000000001" customHeight="1" x14ac:dyDescent="0.3">
      <c r="X336" s="26"/>
    </row>
    <row r="337" spans="24:24" ht="20.100000000000001" customHeight="1" x14ac:dyDescent="0.3">
      <c r="X337" s="26"/>
    </row>
    <row r="338" spans="24:24" ht="20.100000000000001" customHeight="1" x14ac:dyDescent="0.3">
      <c r="X338" s="26"/>
    </row>
    <row r="339" spans="24:24" ht="20.100000000000001" customHeight="1" x14ac:dyDescent="0.3">
      <c r="X339" s="26"/>
    </row>
    <row r="340" spans="24:24" ht="20.100000000000001" customHeight="1" x14ac:dyDescent="0.3">
      <c r="X340" s="26"/>
    </row>
    <row r="341" spans="24:24" ht="20.100000000000001" customHeight="1" x14ac:dyDescent="0.3">
      <c r="X341" s="26"/>
    </row>
    <row r="342" spans="24:24" ht="20.100000000000001" customHeight="1" x14ac:dyDescent="0.3">
      <c r="X342" s="26"/>
    </row>
    <row r="343" spans="24:24" ht="20.100000000000001" customHeight="1" x14ac:dyDescent="0.3">
      <c r="X343" s="26"/>
    </row>
    <row r="344" spans="24:24" ht="20.100000000000001" customHeight="1" x14ac:dyDescent="0.3">
      <c r="X344" s="26"/>
    </row>
    <row r="345" spans="24:24" ht="20.100000000000001" customHeight="1" x14ac:dyDescent="0.3">
      <c r="X345" s="26"/>
    </row>
    <row r="346" spans="24:24" ht="20.100000000000001" customHeight="1" x14ac:dyDescent="0.3">
      <c r="X346" s="26"/>
    </row>
    <row r="347" spans="24:24" ht="20.100000000000001" customHeight="1" x14ac:dyDescent="0.3">
      <c r="X347" s="26"/>
    </row>
    <row r="348" spans="24:24" ht="20.100000000000001" customHeight="1" x14ac:dyDescent="0.3">
      <c r="X348" s="26"/>
    </row>
    <row r="349" spans="24:24" ht="20.100000000000001" customHeight="1" x14ac:dyDescent="0.3">
      <c r="X349" s="26"/>
    </row>
    <row r="350" spans="24:24" ht="20.100000000000001" customHeight="1" x14ac:dyDescent="0.3">
      <c r="X350" s="26"/>
    </row>
    <row r="351" spans="24:24" ht="20.100000000000001" customHeight="1" x14ac:dyDescent="0.3">
      <c r="X351" s="26"/>
    </row>
    <row r="352" spans="24:24" ht="20.100000000000001" customHeight="1" x14ac:dyDescent="0.3">
      <c r="X352" s="26"/>
    </row>
    <row r="353" spans="24:24" ht="20.100000000000001" customHeight="1" x14ac:dyDescent="0.3">
      <c r="X353" s="26"/>
    </row>
    <row r="354" spans="24:24" ht="20.100000000000001" customHeight="1" x14ac:dyDescent="0.3">
      <c r="X354" s="26"/>
    </row>
    <row r="355" spans="24:24" ht="20.100000000000001" customHeight="1" x14ac:dyDescent="0.3">
      <c r="X355" s="26"/>
    </row>
    <row r="356" spans="24:24" ht="20.100000000000001" customHeight="1" x14ac:dyDescent="0.3">
      <c r="X356" s="26"/>
    </row>
    <row r="357" spans="24:24" ht="20.100000000000001" customHeight="1" x14ac:dyDescent="0.3">
      <c r="X357" s="26"/>
    </row>
    <row r="358" spans="24:24" ht="20.100000000000001" customHeight="1" x14ac:dyDescent="0.3">
      <c r="X358" s="26"/>
    </row>
    <row r="359" spans="24:24" ht="20.100000000000001" customHeight="1" x14ac:dyDescent="0.3">
      <c r="X359" s="26"/>
    </row>
    <row r="360" spans="24:24" ht="20.100000000000001" customHeight="1" x14ac:dyDescent="0.3">
      <c r="X360" s="26"/>
    </row>
    <row r="361" spans="24:24" ht="20.100000000000001" customHeight="1" x14ac:dyDescent="0.3">
      <c r="X361" s="26"/>
    </row>
    <row r="362" spans="24:24" ht="20.100000000000001" customHeight="1" x14ac:dyDescent="0.3">
      <c r="X362" s="26"/>
    </row>
    <row r="363" spans="24:24" ht="20.100000000000001" customHeight="1" x14ac:dyDescent="0.3">
      <c r="X363" s="26"/>
    </row>
    <row r="364" spans="24:24" ht="20.100000000000001" customHeight="1" x14ac:dyDescent="0.3">
      <c r="X364" s="26"/>
    </row>
    <row r="365" spans="24:24" ht="20.100000000000001" customHeight="1" x14ac:dyDescent="0.3">
      <c r="X365" s="26"/>
    </row>
    <row r="366" spans="24:24" ht="20.100000000000001" customHeight="1" x14ac:dyDescent="0.3">
      <c r="X366" s="26"/>
    </row>
    <row r="367" spans="24:24" ht="20.100000000000001" customHeight="1" x14ac:dyDescent="0.3">
      <c r="X367" s="26"/>
    </row>
    <row r="368" spans="24:24" ht="20.100000000000001" customHeight="1" x14ac:dyDescent="0.3">
      <c r="X368" s="26"/>
    </row>
    <row r="369" spans="24:24" ht="20.100000000000001" customHeight="1" x14ac:dyDescent="0.3">
      <c r="X369" s="26"/>
    </row>
    <row r="370" spans="24:24" ht="20.100000000000001" customHeight="1" x14ac:dyDescent="0.3">
      <c r="X370" s="26"/>
    </row>
    <row r="371" spans="24:24" ht="20.100000000000001" customHeight="1" x14ac:dyDescent="0.3">
      <c r="X371" s="26"/>
    </row>
    <row r="372" spans="24:24" ht="20.100000000000001" customHeight="1" x14ac:dyDescent="0.3">
      <c r="X372" s="26"/>
    </row>
    <row r="373" spans="24:24" ht="20.100000000000001" customHeight="1" x14ac:dyDescent="0.3">
      <c r="X373" s="26"/>
    </row>
    <row r="374" spans="24:24" ht="20.100000000000001" customHeight="1" x14ac:dyDescent="0.3">
      <c r="X374" s="26"/>
    </row>
    <row r="375" spans="24:24" ht="20.100000000000001" customHeight="1" x14ac:dyDescent="0.3">
      <c r="X375" s="26"/>
    </row>
    <row r="376" spans="24:24" ht="20.100000000000001" customHeight="1" x14ac:dyDescent="0.3">
      <c r="X376" s="26"/>
    </row>
    <row r="377" spans="24:24" ht="20.100000000000001" customHeight="1" x14ac:dyDescent="0.3">
      <c r="X377" s="26"/>
    </row>
    <row r="378" spans="24:24" ht="20.100000000000001" customHeight="1" x14ac:dyDescent="0.3">
      <c r="X378" s="26"/>
    </row>
    <row r="379" spans="24:24" ht="20.100000000000001" customHeight="1" x14ac:dyDescent="0.3">
      <c r="X379" s="26"/>
    </row>
    <row r="380" spans="24:24" ht="20.100000000000001" customHeight="1" x14ac:dyDescent="0.3">
      <c r="X380" s="26"/>
    </row>
    <row r="381" spans="24:24" ht="20.100000000000001" customHeight="1" x14ac:dyDescent="0.3">
      <c r="X381" s="26"/>
    </row>
    <row r="382" spans="24:24" ht="20.100000000000001" customHeight="1" x14ac:dyDescent="0.3">
      <c r="X382" s="26"/>
    </row>
    <row r="383" spans="24:24" ht="20.100000000000001" customHeight="1" x14ac:dyDescent="0.3">
      <c r="X383" s="26"/>
    </row>
    <row r="384" spans="24:24" ht="20.100000000000001" customHeight="1" x14ac:dyDescent="0.3">
      <c r="X384" s="26"/>
    </row>
    <row r="385" spans="24:24" ht="20.100000000000001" customHeight="1" x14ac:dyDescent="0.3">
      <c r="X385" s="26"/>
    </row>
    <row r="386" spans="24:24" ht="20.100000000000001" customHeight="1" x14ac:dyDescent="0.3">
      <c r="X386" s="26"/>
    </row>
    <row r="387" spans="24:24" ht="20.100000000000001" customHeight="1" x14ac:dyDescent="0.3">
      <c r="X387" s="26"/>
    </row>
    <row r="388" spans="24:24" ht="20.100000000000001" customHeight="1" x14ac:dyDescent="0.3">
      <c r="X388" s="26"/>
    </row>
    <row r="389" spans="24:24" ht="20.100000000000001" customHeight="1" x14ac:dyDescent="0.3">
      <c r="X389" s="26"/>
    </row>
    <row r="390" spans="24:24" ht="20.100000000000001" customHeight="1" x14ac:dyDescent="0.3">
      <c r="X390" s="26"/>
    </row>
    <row r="391" spans="24:24" ht="20.100000000000001" customHeight="1" x14ac:dyDescent="0.3">
      <c r="X391" s="26"/>
    </row>
    <row r="392" spans="24:24" ht="20.100000000000001" customHeight="1" x14ac:dyDescent="0.3">
      <c r="X392" s="26"/>
    </row>
    <row r="393" spans="24:24" ht="20.100000000000001" customHeight="1" x14ac:dyDescent="0.3">
      <c r="X393" s="26"/>
    </row>
    <row r="394" spans="24:24" ht="20.100000000000001" customHeight="1" x14ac:dyDescent="0.3">
      <c r="X394" s="26"/>
    </row>
    <row r="395" spans="24:24" ht="20.100000000000001" customHeight="1" x14ac:dyDescent="0.3">
      <c r="X395" s="26"/>
    </row>
    <row r="396" spans="24:24" ht="20.100000000000001" customHeight="1" x14ac:dyDescent="0.3">
      <c r="X396" s="26"/>
    </row>
    <row r="397" spans="24:24" ht="20.100000000000001" customHeight="1" x14ac:dyDescent="0.3">
      <c r="X397" s="26"/>
    </row>
    <row r="398" spans="24:24" ht="20.100000000000001" customHeight="1" x14ac:dyDescent="0.3">
      <c r="X398" s="26"/>
    </row>
    <row r="399" spans="24:24" ht="20.100000000000001" customHeight="1" x14ac:dyDescent="0.3">
      <c r="X399" s="26"/>
    </row>
    <row r="400" spans="24:24" ht="20.100000000000001" customHeight="1" x14ac:dyDescent="0.3">
      <c r="X400" s="26"/>
    </row>
    <row r="401" spans="24:24" ht="20.100000000000001" customHeight="1" x14ac:dyDescent="0.3">
      <c r="X401" s="26"/>
    </row>
    <row r="402" spans="24:24" ht="20.100000000000001" customHeight="1" x14ac:dyDescent="0.3">
      <c r="X402" s="26"/>
    </row>
    <row r="403" spans="24:24" ht="20.100000000000001" customHeight="1" x14ac:dyDescent="0.3">
      <c r="X403" s="26"/>
    </row>
    <row r="404" spans="24:24" ht="20.100000000000001" customHeight="1" x14ac:dyDescent="0.3">
      <c r="X404" s="26"/>
    </row>
    <row r="405" spans="24:24" ht="20.100000000000001" customHeight="1" x14ac:dyDescent="0.3">
      <c r="X405" s="26"/>
    </row>
    <row r="406" spans="24:24" ht="20.100000000000001" customHeight="1" x14ac:dyDescent="0.3">
      <c r="X406" s="26"/>
    </row>
    <row r="407" spans="24:24" ht="20.100000000000001" customHeight="1" x14ac:dyDescent="0.3">
      <c r="X407" s="26"/>
    </row>
    <row r="408" spans="24:24" ht="20.100000000000001" customHeight="1" x14ac:dyDescent="0.3">
      <c r="X408" s="26"/>
    </row>
    <row r="409" spans="24:24" ht="20.100000000000001" customHeight="1" x14ac:dyDescent="0.3">
      <c r="X409" s="26"/>
    </row>
    <row r="410" spans="24:24" ht="20.100000000000001" customHeight="1" x14ac:dyDescent="0.3">
      <c r="X410" s="26"/>
    </row>
    <row r="411" spans="24:24" ht="20.100000000000001" customHeight="1" x14ac:dyDescent="0.3">
      <c r="X411" s="26"/>
    </row>
    <row r="412" spans="24:24" ht="20.100000000000001" customHeight="1" x14ac:dyDescent="0.3">
      <c r="X412" s="26"/>
    </row>
    <row r="413" spans="24:24" ht="20.100000000000001" customHeight="1" x14ac:dyDescent="0.3">
      <c r="X413" s="26"/>
    </row>
    <row r="414" spans="24:24" ht="20.100000000000001" customHeight="1" x14ac:dyDescent="0.3">
      <c r="X414" s="26"/>
    </row>
    <row r="415" spans="24:24" ht="20.100000000000001" customHeight="1" x14ac:dyDescent="0.3">
      <c r="X415" s="26"/>
    </row>
    <row r="416" spans="24:24" ht="20.100000000000001" customHeight="1" x14ac:dyDescent="0.3">
      <c r="X416" s="26"/>
    </row>
    <row r="417" spans="24:24" ht="20.100000000000001" customHeight="1" x14ac:dyDescent="0.3">
      <c r="X417" s="26"/>
    </row>
    <row r="418" spans="24:24" ht="20.100000000000001" customHeight="1" x14ac:dyDescent="0.3">
      <c r="X418" s="26"/>
    </row>
    <row r="419" spans="24:24" ht="20.100000000000001" customHeight="1" x14ac:dyDescent="0.3">
      <c r="X419" s="26"/>
    </row>
    <row r="420" spans="24:24" ht="20.100000000000001" customHeight="1" x14ac:dyDescent="0.3">
      <c r="X420" s="26"/>
    </row>
    <row r="421" spans="24:24" ht="20.100000000000001" customHeight="1" x14ac:dyDescent="0.3">
      <c r="X421" s="26"/>
    </row>
    <row r="422" spans="24:24" ht="20.100000000000001" customHeight="1" x14ac:dyDescent="0.3">
      <c r="X422" s="26"/>
    </row>
    <row r="423" spans="24:24" ht="20.100000000000001" customHeight="1" x14ac:dyDescent="0.3">
      <c r="X423" s="26"/>
    </row>
    <row r="424" spans="24:24" ht="20.100000000000001" customHeight="1" x14ac:dyDescent="0.3">
      <c r="X424" s="26"/>
    </row>
    <row r="425" spans="24:24" ht="20.100000000000001" customHeight="1" x14ac:dyDescent="0.3">
      <c r="X425" s="26"/>
    </row>
    <row r="426" spans="24:24" ht="20.100000000000001" customHeight="1" x14ac:dyDescent="0.3">
      <c r="X426" s="26"/>
    </row>
    <row r="427" spans="24:24" ht="20.100000000000001" customHeight="1" x14ac:dyDescent="0.3">
      <c r="X427" s="26"/>
    </row>
    <row r="428" spans="24:24" ht="20.100000000000001" customHeight="1" x14ac:dyDescent="0.3">
      <c r="X428" s="26"/>
    </row>
    <row r="429" spans="24:24" ht="20.100000000000001" customHeight="1" x14ac:dyDescent="0.3">
      <c r="X429" s="26"/>
    </row>
    <row r="430" spans="24:24" ht="20.100000000000001" customHeight="1" x14ac:dyDescent="0.3">
      <c r="X430" s="26"/>
    </row>
    <row r="431" spans="24:24" ht="20.100000000000001" customHeight="1" x14ac:dyDescent="0.3">
      <c r="X431" s="26"/>
    </row>
    <row r="432" spans="24:24" ht="20.100000000000001" customHeight="1" x14ac:dyDescent="0.3">
      <c r="X432" s="26"/>
    </row>
    <row r="433" spans="24:24" ht="20.100000000000001" customHeight="1" x14ac:dyDescent="0.3">
      <c r="X433" s="26"/>
    </row>
    <row r="434" spans="24:24" ht="20.100000000000001" customHeight="1" x14ac:dyDescent="0.3">
      <c r="X434" s="26"/>
    </row>
    <row r="435" spans="24:24" ht="20.100000000000001" customHeight="1" x14ac:dyDescent="0.3">
      <c r="X435" s="26"/>
    </row>
    <row r="436" spans="24:24" ht="20.100000000000001" customHeight="1" x14ac:dyDescent="0.3">
      <c r="X436" s="26"/>
    </row>
    <row r="437" spans="24:24" ht="20.100000000000001" customHeight="1" x14ac:dyDescent="0.3">
      <c r="X437" s="26"/>
    </row>
    <row r="438" spans="24:24" ht="20.100000000000001" customHeight="1" x14ac:dyDescent="0.3">
      <c r="X438" s="26"/>
    </row>
    <row r="439" spans="24:24" ht="20.100000000000001" customHeight="1" x14ac:dyDescent="0.3">
      <c r="X439" s="26"/>
    </row>
    <row r="440" spans="24:24" ht="20.100000000000001" customHeight="1" x14ac:dyDescent="0.3">
      <c r="X440" s="26"/>
    </row>
    <row r="441" spans="24:24" ht="20.100000000000001" customHeight="1" x14ac:dyDescent="0.3">
      <c r="X441" s="26"/>
    </row>
    <row r="442" spans="24:24" ht="20.100000000000001" customHeight="1" x14ac:dyDescent="0.3">
      <c r="X442" s="26"/>
    </row>
    <row r="443" spans="24:24" ht="20.100000000000001" customHeight="1" x14ac:dyDescent="0.3">
      <c r="X443" s="26"/>
    </row>
    <row r="444" spans="24:24" ht="20.100000000000001" customHeight="1" x14ac:dyDescent="0.3">
      <c r="X444" s="26"/>
    </row>
    <row r="445" spans="24:24" ht="20.100000000000001" customHeight="1" x14ac:dyDescent="0.3">
      <c r="X445" s="26"/>
    </row>
    <row r="446" spans="24:24" ht="20.100000000000001" customHeight="1" x14ac:dyDescent="0.3">
      <c r="X446" s="26"/>
    </row>
    <row r="447" spans="24:24" ht="20.100000000000001" customHeight="1" x14ac:dyDescent="0.3">
      <c r="X447" s="26"/>
    </row>
    <row r="448" spans="24:24" ht="20.100000000000001" customHeight="1" x14ac:dyDescent="0.3">
      <c r="X448" s="26"/>
    </row>
    <row r="449" spans="24:24" ht="20.100000000000001" customHeight="1" x14ac:dyDescent="0.3">
      <c r="X449" s="26"/>
    </row>
    <row r="450" spans="24:24" ht="20.100000000000001" customHeight="1" x14ac:dyDescent="0.3">
      <c r="X450" s="26"/>
    </row>
    <row r="451" spans="24:24" ht="20.100000000000001" customHeight="1" x14ac:dyDescent="0.3">
      <c r="X451" s="26"/>
    </row>
    <row r="452" spans="24:24" ht="20.100000000000001" customHeight="1" x14ac:dyDescent="0.3">
      <c r="X452" s="26"/>
    </row>
    <row r="453" spans="24:24" ht="20.100000000000001" customHeight="1" x14ac:dyDescent="0.3">
      <c r="X453" s="26"/>
    </row>
    <row r="454" spans="24:24" ht="20.100000000000001" customHeight="1" x14ac:dyDescent="0.3">
      <c r="X454" s="26"/>
    </row>
    <row r="455" spans="24:24" ht="20.100000000000001" customHeight="1" x14ac:dyDescent="0.3">
      <c r="X455" s="26"/>
    </row>
    <row r="456" spans="24:24" ht="20.100000000000001" customHeight="1" x14ac:dyDescent="0.3">
      <c r="X456" s="26"/>
    </row>
    <row r="457" spans="24:24" ht="20.100000000000001" customHeight="1" x14ac:dyDescent="0.3">
      <c r="X457" s="26"/>
    </row>
    <row r="458" spans="24:24" ht="20.100000000000001" customHeight="1" x14ac:dyDescent="0.3">
      <c r="X458" s="26"/>
    </row>
    <row r="459" spans="24:24" ht="20.100000000000001" customHeight="1" x14ac:dyDescent="0.3">
      <c r="X459" s="26"/>
    </row>
    <row r="460" spans="24:24" ht="20.100000000000001" customHeight="1" x14ac:dyDescent="0.3">
      <c r="X460" s="26"/>
    </row>
    <row r="461" spans="24:24" ht="20.100000000000001" customHeight="1" x14ac:dyDescent="0.3">
      <c r="X461" s="26"/>
    </row>
    <row r="462" spans="24:24" ht="20.100000000000001" customHeight="1" x14ac:dyDescent="0.3">
      <c r="X462" s="26"/>
    </row>
    <row r="463" spans="24:24" ht="20.100000000000001" customHeight="1" x14ac:dyDescent="0.3">
      <c r="X463" s="26"/>
    </row>
    <row r="464" spans="24:24" ht="20.100000000000001" customHeight="1" x14ac:dyDescent="0.3">
      <c r="X464" s="26"/>
    </row>
    <row r="465" spans="24:24" ht="20.100000000000001" customHeight="1" x14ac:dyDescent="0.3">
      <c r="X465" s="26"/>
    </row>
    <row r="466" spans="24:24" ht="20.100000000000001" customHeight="1" x14ac:dyDescent="0.3">
      <c r="X466" s="26"/>
    </row>
    <row r="467" spans="24:24" ht="20.100000000000001" customHeight="1" x14ac:dyDescent="0.3">
      <c r="X467" s="26"/>
    </row>
    <row r="468" spans="24:24" ht="20.100000000000001" customHeight="1" x14ac:dyDescent="0.3">
      <c r="X468" s="26"/>
    </row>
    <row r="469" spans="24:24" ht="20.100000000000001" customHeight="1" x14ac:dyDescent="0.3">
      <c r="X469" s="26"/>
    </row>
    <row r="470" spans="24:24" ht="20.100000000000001" customHeight="1" x14ac:dyDescent="0.3">
      <c r="X470" s="26"/>
    </row>
    <row r="471" spans="24:24" ht="20.100000000000001" customHeight="1" x14ac:dyDescent="0.3">
      <c r="X471" s="26"/>
    </row>
    <row r="472" spans="24:24" ht="20.100000000000001" customHeight="1" x14ac:dyDescent="0.3">
      <c r="X472" s="26"/>
    </row>
    <row r="473" spans="24:24" ht="20.100000000000001" customHeight="1" x14ac:dyDescent="0.3">
      <c r="X473" s="26"/>
    </row>
    <row r="474" spans="24:24" ht="20.100000000000001" customHeight="1" x14ac:dyDescent="0.3">
      <c r="X474" s="26"/>
    </row>
    <row r="475" spans="24:24" ht="20.100000000000001" customHeight="1" x14ac:dyDescent="0.3">
      <c r="X475" s="26"/>
    </row>
    <row r="476" spans="24:24" ht="20.100000000000001" customHeight="1" x14ac:dyDescent="0.3">
      <c r="X476" s="26"/>
    </row>
    <row r="477" spans="24:24" ht="20.100000000000001" customHeight="1" x14ac:dyDescent="0.3">
      <c r="X477" s="26"/>
    </row>
    <row r="478" spans="24:24" ht="20.100000000000001" customHeight="1" x14ac:dyDescent="0.3">
      <c r="X478" s="26"/>
    </row>
    <row r="479" spans="24:24" ht="20.100000000000001" customHeight="1" x14ac:dyDescent="0.3">
      <c r="X479" s="26"/>
    </row>
    <row r="480" spans="24:24" ht="20.100000000000001" customHeight="1" x14ac:dyDescent="0.3">
      <c r="X480" s="26"/>
    </row>
    <row r="481" spans="24:24" ht="20.100000000000001" customHeight="1" x14ac:dyDescent="0.3">
      <c r="X481" s="26"/>
    </row>
    <row r="482" spans="24:24" ht="20.100000000000001" customHeight="1" x14ac:dyDescent="0.3">
      <c r="X482" s="26"/>
    </row>
    <row r="483" spans="24:24" ht="20.100000000000001" customHeight="1" x14ac:dyDescent="0.3">
      <c r="X483" s="26"/>
    </row>
    <row r="484" spans="24:24" ht="20.100000000000001" customHeight="1" x14ac:dyDescent="0.3">
      <c r="X484" s="26"/>
    </row>
    <row r="485" spans="24:24" ht="20.100000000000001" customHeight="1" x14ac:dyDescent="0.3">
      <c r="X485" s="26"/>
    </row>
    <row r="486" spans="24:24" ht="20.100000000000001" customHeight="1" x14ac:dyDescent="0.3">
      <c r="X486" s="26"/>
    </row>
    <row r="487" spans="24:24" ht="20.100000000000001" customHeight="1" x14ac:dyDescent="0.3">
      <c r="X487" s="26"/>
    </row>
    <row r="488" spans="24:24" ht="20.100000000000001" customHeight="1" x14ac:dyDescent="0.3">
      <c r="X488" s="26"/>
    </row>
    <row r="489" spans="24:24" ht="20.100000000000001" customHeight="1" x14ac:dyDescent="0.3">
      <c r="X489" s="26"/>
    </row>
    <row r="490" spans="24:24" ht="20.100000000000001" customHeight="1" x14ac:dyDescent="0.3">
      <c r="X490" s="26"/>
    </row>
    <row r="491" spans="24:24" ht="20.100000000000001" customHeight="1" x14ac:dyDescent="0.3">
      <c r="X491" s="26"/>
    </row>
    <row r="492" spans="24:24" ht="20.100000000000001" customHeight="1" x14ac:dyDescent="0.3">
      <c r="X492" s="26"/>
    </row>
    <row r="493" spans="24:24" ht="20.100000000000001" customHeight="1" x14ac:dyDescent="0.3">
      <c r="X493" s="26"/>
    </row>
    <row r="494" spans="24:24" ht="20.100000000000001" customHeight="1" x14ac:dyDescent="0.3">
      <c r="X494" s="26"/>
    </row>
    <row r="495" spans="24:24" ht="20.100000000000001" customHeight="1" x14ac:dyDescent="0.3">
      <c r="X495" s="26"/>
    </row>
    <row r="496" spans="24:24" ht="20.100000000000001" customHeight="1" x14ac:dyDescent="0.3">
      <c r="X496" s="26"/>
    </row>
    <row r="497" spans="24:24" ht="20.100000000000001" customHeight="1" x14ac:dyDescent="0.3">
      <c r="X497" s="26"/>
    </row>
    <row r="498" spans="24:24" ht="20.100000000000001" customHeight="1" x14ac:dyDescent="0.3">
      <c r="X498" s="26"/>
    </row>
    <row r="499" spans="24:24" ht="20.100000000000001" customHeight="1" x14ac:dyDescent="0.3">
      <c r="X499" s="26"/>
    </row>
    <row r="500" spans="24:24" ht="20.100000000000001" customHeight="1" x14ac:dyDescent="0.3">
      <c r="X500" s="26"/>
    </row>
    <row r="501" spans="24:24" ht="20.100000000000001" customHeight="1" x14ac:dyDescent="0.3">
      <c r="X501" s="26"/>
    </row>
    <row r="502" spans="24:24" ht="20.100000000000001" customHeight="1" x14ac:dyDescent="0.3">
      <c r="X502" s="26"/>
    </row>
    <row r="503" spans="24:24" ht="20.100000000000001" customHeight="1" x14ac:dyDescent="0.3">
      <c r="X503" s="26"/>
    </row>
    <row r="504" spans="24:24" ht="20.100000000000001" customHeight="1" x14ac:dyDescent="0.3">
      <c r="X504" s="26"/>
    </row>
    <row r="505" spans="24:24" ht="20.100000000000001" customHeight="1" x14ac:dyDescent="0.3">
      <c r="X505" s="26"/>
    </row>
    <row r="506" spans="24:24" ht="20.100000000000001" customHeight="1" x14ac:dyDescent="0.3">
      <c r="X506" s="26"/>
    </row>
    <row r="507" spans="24:24" ht="20.100000000000001" customHeight="1" x14ac:dyDescent="0.3">
      <c r="X507" s="26"/>
    </row>
    <row r="508" spans="24:24" ht="20.100000000000001" customHeight="1" x14ac:dyDescent="0.3">
      <c r="X508" s="26"/>
    </row>
    <row r="509" spans="24:24" ht="20.100000000000001" customHeight="1" x14ac:dyDescent="0.3">
      <c r="X509" s="26"/>
    </row>
    <row r="510" spans="24:24" ht="20.100000000000001" customHeight="1" x14ac:dyDescent="0.3">
      <c r="X510" s="26"/>
    </row>
    <row r="511" spans="24:24" ht="20.100000000000001" customHeight="1" x14ac:dyDescent="0.3">
      <c r="X511" s="26"/>
    </row>
    <row r="512" spans="24:24" ht="20.100000000000001" customHeight="1" x14ac:dyDescent="0.3">
      <c r="X512" s="26"/>
    </row>
    <row r="513" spans="24:24" ht="20.100000000000001" customHeight="1" x14ac:dyDescent="0.3">
      <c r="X513" s="26"/>
    </row>
    <row r="514" spans="24:24" ht="20.100000000000001" customHeight="1" x14ac:dyDescent="0.3">
      <c r="X514" s="26"/>
    </row>
    <row r="515" spans="24:24" ht="20.100000000000001" customHeight="1" x14ac:dyDescent="0.3">
      <c r="X515" s="26"/>
    </row>
    <row r="516" spans="24:24" ht="20.100000000000001" customHeight="1" x14ac:dyDescent="0.3">
      <c r="X516" s="26"/>
    </row>
    <row r="517" spans="24:24" ht="20.100000000000001" customHeight="1" x14ac:dyDescent="0.3">
      <c r="X517" s="26"/>
    </row>
    <row r="518" spans="24:24" ht="20.100000000000001" customHeight="1" x14ac:dyDescent="0.3">
      <c r="X518" s="26"/>
    </row>
    <row r="519" spans="24:24" ht="20.100000000000001" customHeight="1" x14ac:dyDescent="0.3">
      <c r="X519" s="26"/>
    </row>
    <row r="520" spans="24:24" ht="20.100000000000001" customHeight="1" x14ac:dyDescent="0.3">
      <c r="X520" s="26"/>
    </row>
    <row r="521" spans="24:24" ht="20.100000000000001" customHeight="1" x14ac:dyDescent="0.3">
      <c r="X521" s="26"/>
    </row>
    <row r="522" spans="24:24" ht="20.100000000000001" customHeight="1" x14ac:dyDescent="0.3">
      <c r="X522" s="26"/>
    </row>
    <row r="523" spans="24:24" ht="20.100000000000001" customHeight="1" x14ac:dyDescent="0.3">
      <c r="X523" s="26"/>
    </row>
    <row r="524" spans="24:24" ht="20.100000000000001" customHeight="1" x14ac:dyDescent="0.3">
      <c r="X524" s="26"/>
    </row>
    <row r="525" spans="24:24" ht="20.100000000000001" customHeight="1" x14ac:dyDescent="0.3">
      <c r="X525" s="26"/>
    </row>
    <row r="526" spans="24:24" ht="20.100000000000001" customHeight="1" x14ac:dyDescent="0.3">
      <c r="X526" s="26"/>
    </row>
    <row r="527" spans="24:24" ht="20.100000000000001" customHeight="1" x14ac:dyDescent="0.3">
      <c r="X527" s="26"/>
    </row>
    <row r="528" spans="24:24" ht="20.100000000000001" customHeight="1" x14ac:dyDescent="0.3">
      <c r="X528" s="26"/>
    </row>
    <row r="529" spans="24:24" ht="20.100000000000001" customHeight="1" x14ac:dyDescent="0.3">
      <c r="X529" s="26"/>
    </row>
    <row r="530" spans="24:24" ht="20.100000000000001" customHeight="1" x14ac:dyDescent="0.3">
      <c r="X530" s="26"/>
    </row>
    <row r="531" spans="24:24" ht="20.100000000000001" customHeight="1" x14ac:dyDescent="0.3">
      <c r="X531" s="26"/>
    </row>
    <row r="532" spans="24:24" ht="20.100000000000001" customHeight="1" x14ac:dyDescent="0.3">
      <c r="X532" s="26"/>
    </row>
    <row r="533" spans="24:24" ht="20.100000000000001" customHeight="1" x14ac:dyDescent="0.3">
      <c r="X533" s="26"/>
    </row>
    <row r="534" spans="24:24" ht="20.100000000000001" customHeight="1" x14ac:dyDescent="0.3">
      <c r="X534" s="26"/>
    </row>
    <row r="535" spans="24:24" ht="20.100000000000001" customHeight="1" x14ac:dyDescent="0.3">
      <c r="X535" s="26"/>
    </row>
    <row r="536" spans="24:24" ht="20.100000000000001" customHeight="1" x14ac:dyDescent="0.3">
      <c r="X536" s="26"/>
    </row>
    <row r="537" spans="24:24" ht="20.100000000000001" customHeight="1" x14ac:dyDescent="0.3">
      <c r="X537" s="26"/>
    </row>
    <row r="538" spans="24:24" ht="20.100000000000001" customHeight="1" x14ac:dyDescent="0.3">
      <c r="X538" s="26"/>
    </row>
    <row r="539" spans="24:24" ht="20.100000000000001" customHeight="1" x14ac:dyDescent="0.3">
      <c r="X539" s="26"/>
    </row>
    <row r="540" spans="24:24" ht="20.100000000000001" customHeight="1" x14ac:dyDescent="0.3">
      <c r="X540" s="26"/>
    </row>
    <row r="541" spans="24:24" ht="20.100000000000001" customHeight="1" x14ac:dyDescent="0.3">
      <c r="X541" s="26"/>
    </row>
    <row r="542" spans="24:24" ht="20.100000000000001" customHeight="1" x14ac:dyDescent="0.3">
      <c r="X542" s="26"/>
    </row>
    <row r="543" spans="24:24" ht="20.100000000000001" customHeight="1" x14ac:dyDescent="0.3">
      <c r="X543" s="26"/>
    </row>
    <row r="544" spans="24:24" ht="20.100000000000001" customHeight="1" x14ac:dyDescent="0.3">
      <c r="X544" s="26"/>
    </row>
    <row r="545" spans="24:24" ht="20.100000000000001" customHeight="1" x14ac:dyDescent="0.3">
      <c r="X545" s="26"/>
    </row>
    <row r="546" spans="24:24" ht="20.100000000000001" customHeight="1" x14ac:dyDescent="0.3">
      <c r="X546" s="26"/>
    </row>
    <row r="547" spans="24:24" ht="20.100000000000001" customHeight="1" x14ac:dyDescent="0.3">
      <c r="X547" s="26"/>
    </row>
    <row r="548" spans="24:24" ht="20.100000000000001" customHeight="1" x14ac:dyDescent="0.3">
      <c r="X548" s="26"/>
    </row>
    <row r="549" spans="24:24" ht="20.100000000000001" customHeight="1" x14ac:dyDescent="0.3">
      <c r="X549" s="26"/>
    </row>
    <row r="550" spans="24:24" ht="20.100000000000001" customHeight="1" x14ac:dyDescent="0.3">
      <c r="X550" s="26"/>
    </row>
    <row r="551" spans="24:24" ht="20.100000000000001" customHeight="1" x14ac:dyDescent="0.3">
      <c r="X551" s="26"/>
    </row>
    <row r="552" spans="24:24" ht="20.100000000000001" customHeight="1" x14ac:dyDescent="0.3">
      <c r="X552" s="26"/>
    </row>
    <row r="553" spans="24:24" ht="20.100000000000001" customHeight="1" x14ac:dyDescent="0.3">
      <c r="X553" s="26"/>
    </row>
    <row r="554" spans="24:24" ht="20.100000000000001" customHeight="1" x14ac:dyDescent="0.3">
      <c r="X554" s="26"/>
    </row>
    <row r="555" spans="24:24" ht="20.100000000000001" customHeight="1" x14ac:dyDescent="0.3">
      <c r="X555" s="26"/>
    </row>
    <row r="556" spans="24:24" ht="20.100000000000001" customHeight="1" x14ac:dyDescent="0.3">
      <c r="X556" s="26"/>
    </row>
    <row r="557" spans="24:24" ht="20.100000000000001" customHeight="1" x14ac:dyDescent="0.3">
      <c r="X557" s="26"/>
    </row>
    <row r="558" spans="24:24" ht="20.100000000000001" customHeight="1" x14ac:dyDescent="0.3">
      <c r="X558" s="26"/>
    </row>
    <row r="559" spans="24:24" ht="20.100000000000001" customHeight="1" x14ac:dyDescent="0.3">
      <c r="X559" s="26"/>
    </row>
    <row r="560" spans="24:24" ht="20.100000000000001" customHeight="1" x14ac:dyDescent="0.3">
      <c r="X560" s="26"/>
    </row>
    <row r="561" spans="24:24" ht="20.100000000000001" customHeight="1" x14ac:dyDescent="0.3">
      <c r="X561" s="26"/>
    </row>
    <row r="562" spans="24:24" ht="20.100000000000001" customHeight="1" x14ac:dyDescent="0.3">
      <c r="X562" s="26"/>
    </row>
    <row r="563" spans="24:24" ht="20.100000000000001" customHeight="1" x14ac:dyDescent="0.3">
      <c r="X563" s="26"/>
    </row>
    <row r="564" spans="24:24" ht="20.100000000000001" customHeight="1" x14ac:dyDescent="0.3">
      <c r="X564" s="26"/>
    </row>
    <row r="565" spans="24:24" ht="20.100000000000001" customHeight="1" x14ac:dyDescent="0.3">
      <c r="X565" s="26"/>
    </row>
    <row r="566" spans="24:24" ht="20.100000000000001" customHeight="1" x14ac:dyDescent="0.3">
      <c r="X566" s="26"/>
    </row>
    <row r="567" spans="24:24" ht="20.100000000000001" customHeight="1" x14ac:dyDescent="0.3">
      <c r="X567" s="26"/>
    </row>
    <row r="568" spans="24:24" ht="20.100000000000001" customHeight="1" x14ac:dyDescent="0.3">
      <c r="X568" s="26"/>
    </row>
    <row r="569" spans="24:24" ht="20.100000000000001" customHeight="1" x14ac:dyDescent="0.3">
      <c r="X569" s="26"/>
    </row>
    <row r="570" spans="24:24" ht="20.100000000000001" customHeight="1" x14ac:dyDescent="0.3">
      <c r="X570" s="26"/>
    </row>
    <row r="571" spans="24:24" ht="20.100000000000001" customHeight="1" x14ac:dyDescent="0.3">
      <c r="X571" s="26"/>
    </row>
    <row r="572" spans="24:24" ht="20.100000000000001" customHeight="1" x14ac:dyDescent="0.3">
      <c r="X572" s="26"/>
    </row>
    <row r="573" spans="24:24" ht="20.100000000000001" customHeight="1" x14ac:dyDescent="0.3">
      <c r="X573" s="26"/>
    </row>
    <row r="574" spans="24:24" ht="20.100000000000001" customHeight="1" x14ac:dyDescent="0.3">
      <c r="X574" s="26"/>
    </row>
    <row r="575" spans="24:24" ht="20.100000000000001" customHeight="1" x14ac:dyDescent="0.3">
      <c r="X575" s="26"/>
    </row>
    <row r="576" spans="24:24" ht="20.100000000000001" customHeight="1" x14ac:dyDescent="0.3">
      <c r="X576" s="26"/>
    </row>
    <row r="577" spans="24:24" ht="20.100000000000001" customHeight="1" x14ac:dyDescent="0.3">
      <c r="X577" s="26"/>
    </row>
    <row r="578" spans="24:24" ht="20.100000000000001" customHeight="1" x14ac:dyDescent="0.3">
      <c r="X578" s="26"/>
    </row>
    <row r="579" spans="24:24" ht="20.100000000000001" customHeight="1" x14ac:dyDescent="0.3">
      <c r="X579" s="26"/>
    </row>
    <row r="580" spans="24:24" ht="20.100000000000001" customHeight="1" x14ac:dyDescent="0.3">
      <c r="X580" s="26"/>
    </row>
    <row r="581" spans="24:24" ht="20.100000000000001" customHeight="1" x14ac:dyDescent="0.3">
      <c r="X581" s="26"/>
    </row>
    <row r="582" spans="24:24" ht="20.100000000000001" customHeight="1" x14ac:dyDescent="0.3">
      <c r="X582" s="26"/>
    </row>
    <row r="583" spans="24:24" ht="20.100000000000001" customHeight="1" x14ac:dyDescent="0.3">
      <c r="X583" s="26"/>
    </row>
    <row r="584" spans="24:24" ht="20.100000000000001" customHeight="1" x14ac:dyDescent="0.3">
      <c r="X584" s="26"/>
    </row>
    <row r="585" spans="24:24" ht="20.100000000000001" customHeight="1" x14ac:dyDescent="0.3">
      <c r="X585" s="26"/>
    </row>
    <row r="586" spans="24:24" ht="20.100000000000001" customHeight="1" x14ac:dyDescent="0.3">
      <c r="X586" s="26"/>
    </row>
    <row r="587" spans="24:24" ht="20.100000000000001" customHeight="1" x14ac:dyDescent="0.3">
      <c r="X587" s="26"/>
    </row>
    <row r="588" spans="24:24" ht="20.100000000000001" customHeight="1" x14ac:dyDescent="0.3">
      <c r="X588" s="26"/>
    </row>
    <row r="589" spans="24:24" ht="20.100000000000001" customHeight="1" x14ac:dyDescent="0.3">
      <c r="X589" s="26"/>
    </row>
    <row r="590" spans="24:24" ht="20.100000000000001" customHeight="1" x14ac:dyDescent="0.3">
      <c r="X590" s="26"/>
    </row>
    <row r="591" spans="24:24" ht="20.100000000000001" customHeight="1" x14ac:dyDescent="0.3">
      <c r="X591" s="26"/>
    </row>
    <row r="592" spans="24:24" ht="20.100000000000001" customHeight="1" x14ac:dyDescent="0.3">
      <c r="X592" s="26"/>
    </row>
    <row r="593" spans="24:24" ht="20.100000000000001" customHeight="1" x14ac:dyDescent="0.3">
      <c r="X593" s="26"/>
    </row>
    <row r="594" spans="24:24" ht="20.100000000000001" customHeight="1" x14ac:dyDescent="0.3">
      <c r="X594" s="26"/>
    </row>
    <row r="595" spans="24:24" ht="20.100000000000001" customHeight="1" x14ac:dyDescent="0.3">
      <c r="X595" s="26"/>
    </row>
    <row r="596" spans="24:24" ht="20.100000000000001" customHeight="1" x14ac:dyDescent="0.3">
      <c r="X596" s="26"/>
    </row>
    <row r="597" spans="24:24" ht="20.100000000000001" customHeight="1" x14ac:dyDescent="0.3">
      <c r="X597" s="26"/>
    </row>
    <row r="598" spans="24:24" ht="20.100000000000001" customHeight="1" x14ac:dyDescent="0.3">
      <c r="X598" s="26"/>
    </row>
    <row r="599" spans="24:24" ht="20.100000000000001" customHeight="1" x14ac:dyDescent="0.3">
      <c r="X599" s="26"/>
    </row>
    <row r="600" spans="24:24" ht="20.100000000000001" customHeight="1" x14ac:dyDescent="0.3">
      <c r="X600" s="26"/>
    </row>
    <row r="601" spans="24:24" ht="20.100000000000001" customHeight="1" x14ac:dyDescent="0.3">
      <c r="X601" s="26"/>
    </row>
    <row r="602" spans="24:24" ht="20.100000000000001" customHeight="1" x14ac:dyDescent="0.3">
      <c r="X602" s="26"/>
    </row>
    <row r="603" spans="24:24" ht="20.100000000000001" customHeight="1" x14ac:dyDescent="0.3">
      <c r="X603" s="26"/>
    </row>
    <row r="604" spans="24:24" ht="20.100000000000001" customHeight="1" x14ac:dyDescent="0.3">
      <c r="X604" s="26"/>
    </row>
    <row r="605" spans="24:24" ht="20.100000000000001" customHeight="1" x14ac:dyDescent="0.3">
      <c r="X605" s="26"/>
    </row>
    <row r="606" spans="24:24" ht="20.100000000000001" customHeight="1" x14ac:dyDescent="0.3">
      <c r="X606" s="26"/>
    </row>
    <row r="607" spans="24:24" ht="20.100000000000001" customHeight="1" x14ac:dyDescent="0.3">
      <c r="X607" s="26"/>
    </row>
    <row r="608" spans="24:24" ht="20.100000000000001" customHeight="1" x14ac:dyDescent="0.3">
      <c r="X608" s="26"/>
    </row>
    <row r="609" spans="24:24" ht="20.100000000000001" customHeight="1" x14ac:dyDescent="0.3">
      <c r="X609" s="26"/>
    </row>
    <row r="610" spans="24:24" ht="20.100000000000001" customHeight="1" x14ac:dyDescent="0.3">
      <c r="X610" s="26"/>
    </row>
    <row r="611" spans="24:24" ht="20.100000000000001" customHeight="1" x14ac:dyDescent="0.3">
      <c r="X611" s="26"/>
    </row>
    <row r="612" spans="24:24" ht="20.100000000000001" customHeight="1" x14ac:dyDescent="0.3">
      <c r="X612" s="26"/>
    </row>
    <row r="613" spans="24:24" ht="20.100000000000001" customHeight="1" x14ac:dyDescent="0.3">
      <c r="X613" s="26"/>
    </row>
    <row r="614" spans="24:24" ht="20.100000000000001" customHeight="1" x14ac:dyDescent="0.3">
      <c r="X614" s="26"/>
    </row>
    <row r="615" spans="24:24" ht="20.100000000000001" customHeight="1" x14ac:dyDescent="0.3">
      <c r="X615" s="26"/>
    </row>
    <row r="616" spans="24:24" ht="20.100000000000001" customHeight="1" x14ac:dyDescent="0.3">
      <c r="X616" s="26"/>
    </row>
    <row r="617" spans="24:24" ht="20.100000000000001" customHeight="1" x14ac:dyDescent="0.3">
      <c r="X617" s="26"/>
    </row>
    <row r="618" spans="24:24" ht="20.100000000000001" customHeight="1" x14ac:dyDescent="0.3">
      <c r="X618" s="26"/>
    </row>
    <row r="619" spans="24:24" ht="20.100000000000001" customHeight="1" x14ac:dyDescent="0.3">
      <c r="X619" s="26"/>
    </row>
    <row r="620" spans="24:24" ht="20.100000000000001" customHeight="1" x14ac:dyDescent="0.3">
      <c r="X620" s="26"/>
    </row>
    <row r="621" spans="24:24" ht="20.100000000000001" customHeight="1" x14ac:dyDescent="0.3">
      <c r="X621" s="26"/>
    </row>
    <row r="622" spans="24:24" ht="20.100000000000001" customHeight="1" x14ac:dyDescent="0.3">
      <c r="X622" s="26"/>
    </row>
    <row r="623" spans="24:24" ht="20.100000000000001" customHeight="1" x14ac:dyDescent="0.3">
      <c r="X623" s="26"/>
    </row>
    <row r="624" spans="24:24" ht="20.100000000000001" customHeight="1" x14ac:dyDescent="0.3">
      <c r="X624" s="26"/>
    </row>
    <row r="625" spans="24:24" ht="20.100000000000001" customHeight="1" x14ac:dyDescent="0.3">
      <c r="X625" s="26"/>
    </row>
    <row r="626" spans="24:24" ht="20.100000000000001" customHeight="1" x14ac:dyDescent="0.3">
      <c r="X626" s="26"/>
    </row>
    <row r="627" spans="24:24" ht="20.100000000000001" customHeight="1" x14ac:dyDescent="0.3">
      <c r="X627" s="26"/>
    </row>
    <row r="628" spans="24:24" ht="20.100000000000001" customHeight="1" x14ac:dyDescent="0.3">
      <c r="X628" s="26"/>
    </row>
    <row r="629" spans="24:24" ht="20.100000000000001" customHeight="1" x14ac:dyDescent="0.3">
      <c r="X629" s="26"/>
    </row>
    <row r="630" spans="24:24" ht="20.100000000000001" customHeight="1" x14ac:dyDescent="0.3">
      <c r="X630" s="26"/>
    </row>
    <row r="631" spans="24:24" ht="20.100000000000001" customHeight="1" x14ac:dyDescent="0.3">
      <c r="X631" s="26"/>
    </row>
    <row r="632" spans="24:24" ht="20.100000000000001" customHeight="1" x14ac:dyDescent="0.3">
      <c r="X632" s="26"/>
    </row>
    <row r="633" spans="24:24" ht="20.100000000000001" customHeight="1" x14ac:dyDescent="0.3">
      <c r="X633" s="26"/>
    </row>
    <row r="634" spans="24:24" ht="20.100000000000001" customHeight="1" x14ac:dyDescent="0.3">
      <c r="X634" s="26"/>
    </row>
    <row r="635" spans="24:24" ht="20.100000000000001" customHeight="1" x14ac:dyDescent="0.3">
      <c r="X635" s="26"/>
    </row>
    <row r="636" spans="24:24" ht="20.100000000000001" customHeight="1" x14ac:dyDescent="0.3">
      <c r="X636" s="26"/>
    </row>
    <row r="637" spans="24:24" ht="20.100000000000001" customHeight="1" x14ac:dyDescent="0.3">
      <c r="X637" s="26"/>
    </row>
    <row r="638" spans="24:24" ht="20.100000000000001" customHeight="1" x14ac:dyDescent="0.3">
      <c r="X638" s="26"/>
    </row>
    <row r="639" spans="24:24" ht="20.100000000000001" customHeight="1" x14ac:dyDescent="0.3">
      <c r="X639" s="26"/>
    </row>
    <row r="640" spans="24:24" ht="20.100000000000001" customHeight="1" x14ac:dyDescent="0.3">
      <c r="X640" s="26"/>
    </row>
    <row r="641" spans="24:24" ht="20.100000000000001" customHeight="1" x14ac:dyDescent="0.3">
      <c r="X641" s="26"/>
    </row>
    <row r="642" spans="24:24" ht="20.100000000000001" customHeight="1" x14ac:dyDescent="0.3">
      <c r="X642" s="26"/>
    </row>
    <row r="643" spans="24:24" ht="20.100000000000001" customHeight="1" x14ac:dyDescent="0.3">
      <c r="X643" s="26"/>
    </row>
    <row r="644" spans="24:24" ht="20.100000000000001" customHeight="1" x14ac:dyDescent="0.3">
      <c r="X644" s="26"/>
    </row>
    <row r="645" spans="24:24" ht="20.100000000000001" customHeight="1" x14ac:dyDescent="0.3">
      <c r="X645" s="26"/>
    </row>
    <row r="646" spans="24:24" ht="20.100000000000001" customHeight="1" x14ac:dyDescent="0.3">
      <c r="X646" s="26"/>
    </row>
    <row r="647" spans="24:24" ht="20.100000000000001" customHeight="1" x14ac:dyDescent="0.3">
      <c r="X647" s="26"/>
    </row>
    <row r="648" spans="24:24" ht="20.100000000000001" customHeight="1" x14ac:dyDescent="0.3">
      <c r="X648" s="26"/>
    </row>
    <row r="649" spans="24:24" ht="20.100000000000001" customHeight="1" x14ac:dyDescent="0.3">
      <c r="X649" s="26"/>
    </row>
    <row r="650" spans="24:24" ht="20.100000000000001" customHeight="1" x14ac:dyDescent="0.3">
      <c r="X650" s="26"/>
    </row>
    <row r="651" spans="24:24" ht="20.100000000000001" customHeight="1" x14ac:dyDescent="0.3">
      <c r="X651" s="26"/>
    </row>
    <row r="652" spans="24:24" ht="20.100000000000001" customHeight="1" x14ac:dyDescent="0.3">
      <c r="X652" s="26"/>
    </row>
    <row r="653" spans="24:24" ht="20.100000000000001" customHeight="1" x14ac:dyDescent="0.3">
      <c r="X653" s="26"/>
    </row>
    <row r="654" spans="24:24" ht="20.100000000000001" customHeight="1" x14ac:dyDescent="0.3">
      <c r="X654" s="26"/>
    </row>
    <row r="655" spans="24:24" ht="20.100000000000001" customHeight="1" x14ac:dyDescent="0.3">
      <c r="X655" s="26"/>
    </row>
    <row r="656" spans="24:24" ht="20.100000000000001" customHeight="1" x14ac:dyDescent="0.3">
      <c r="X656" s="26"/>
    </row>
    <row r="657" spans="24:24" ht="20.100000000000001" customHeight="1" x14ac:dyDescent="0.3">
      <c r="X657" s="26"/>
    </row>
    <row r="658" spans="24:24" ht="20.100000000000001" customHeight="1" x14ac:dyDescent="0.3">
      <c r="X658" s="26"/>
    </row>
    <row r="659" spans="24:24" ht="20.100000000000001" customHeight="1" x14ac:dyDescent="0.3">
      <c r="X659" s="26"/>
    </row>
    <row r="660" spans="24:24" ht="20.100000000000001" customHeight="1" x14ac:dyDescent="0.3">
      <c r="X660" s="26"/>
    </row>
    <row r="661" spans="24:24" ht="20.100000000000001" customHeight="1" x14ac:dyDescent="0.3">
      <c r="X661" s="26"/>
    </row>
    <row r="662" spans="24:24" ht="20.100000000000001" customHeight="1" x14ac:dyDescent="0.3">
      <c r="X662" s="26"/>
    </row>
    <row r="663" spans="24:24" ht="20.100000000000001" customHeight="1" x14ac:dyDescent="0.3">
      <c r="X663" s="26"/>
    </row>
    <row r="664" spans="24:24" ht="20.100000000000001" customHeight="1" x14ac:dyDescent="0.3">
      <c r="X664" s="26"/>
    </row>
    <row r="665" spans="24:24" ht="20.100000000000001" customHeight="1" x14ac:dyDescent="0.3">
      <c r="X665" s="26"/>
    </row>
    <row r="666" spans="24:24" ht="20.100000000000001" customHeight="1" x14ac:dyDescent="0.3">
      <c r="X666" s="26"/>
    </row>
    <row r="667" spans="24:24" ht="20.100000000000001" customHeight="1" x14ac:dyDescent="0.3">
      <c r="X667" s="26"/>
    </row>
    <row r="668" spans="24:24" ht="20.100000000000001" customHeight="1" x14ac:dyDescent="0.3">
      <c r="X668" s="26"/>
    </row>
    <row r="669" spans="24:24" ht="20.100000000000001" customHeight="1" x14ac:dyDescent="0.3">
      <c r="X669" s="26"/>
    </row>
    <row r="670" spans="24:24" ht="20.100000000000001" customHeight="1" x14ac:dyDescent="0.3">
      <c r="X670" s="26"/>
    </row>
    <row r="671" spans="24:24" ht="20.100000000000001" customHeight="1" x14ac:dyDescent="0.3">
      <c r="X671" s="26"/>
    </row>
    <row r="672" spans="24:24" ht="20.100000000000001" customHeight="1" x14ac:dyDescent="0.3">
      <c r="X672" s="26"/>
    </row>
    <row r="673" spans="24:24" ht="20.100000000000001" customHeight="1" x14ac:dyDescent="0.3">
      <c r="X673" s="26"/>
    </row>
    <row r="674" spans="24:24" ht="20.100000000000001" customHeight="1" x14ac:dyDescent="0.3">
      <c r="X674" s="26"/>
    </row>
    <row r="675" spans="24:24" ht="20.100000000000001" customHeight="1" x14ac:dyDescent="0.3">
      <c r="X675" s="26"/>
    </row>
    <row r="676" spans="24:24" ht="20.100000000000001" customHeight="1" x14ac:dyDescent="0.3">
      <c r="X676" s="26"/>
    </row>
    <row r="677" spans="24:24" ht="20.100000000000001" customHeight="1" x14ac:dyDescent="0.3">
      <c r="X677" s="26"/>
    </row>
    <row r="678" spans="24:24" ht="20.100000000000001" customHeight="1" x14ac:dyDescent="0.3">
      <c r="X678" s="26"/>
    </row>
    <row r="679" spans="24:24" ht="20.100000000000001" customHeight="1" x14ac:dyDescent="0.3">
      <c r="X679" s="26"/>
    </row>
    <row r="680" spans="24:24" ht="20.100000000000001" customHeight="1" x14ac:dyDescent="0.3">
      <c r="X680" s="26"/>
    </row>
    <row r="681" spans="24:24" ht="20.100000000000001" customHeight="1" x14ac:dyDescent="0.3">
      <c r="X681" s="26"/>
    </row>
    <row r="682" spans="24:24" ht="20.100000000000001" customHeight="1" x14ac:dyDescent="0.3">
      <c r="X682" s="26"/>
    </row>
    <row r="683" spans="24:24" ht="20.100000000000001" customHeight="1" x14ac:dyDescent="0.3">
      <c r="X683" s="26"/>
    </row>
    <row r="684" spans="24:24" ht="20.100000000000001" customHeight="1" x14ac:dyDescent="0.3">
      <c r="X684" s="26"/>
    </row>
    <row r="685" spans="24:24" ht="20.100000000000001" customHeight="1" x14ac:dyDescent="0.3">
      <c r="X685" s="26"/>
    </row>
    <row r="686" spans="24:24" ht="20.100000000000001" customHeight="1" x14ac:dyDescent="0.3">
      <c r="X686" s="26"/>
    </row>
    <row r="687" spans="24:24" ht="20.100000000000001" customHeight="1" x14ac:dyDescent="0.3">
      <c r="X687" s="26"/>
    </row>
    <row r="688" spans="24:24" ht="20.100000000000001" customHeight="1" x14ac:dyDescent="0.3">
      <c r="X688" s="26"/>
    </row>
    <row r="689" spans="24:24" ht="20.100000000000001" customHeight="1" x14ac:dyDescent="0.3">
      <c r="X689" s="26"/>
    </row>
    <row r="690" spans="24:24" ht="20.100000000000001" customHeight="1" x14ac:dyDescent="0.3">
      <c r="X690" s="26"/>
    </row>
    <row r="691" spans="24:24" ht="20.100000000000001" customHeight="1" x14ac:dyDescent="0.3">
      <c r="X691" s="26"/>
    </row>
    <row r="692" spans="24:24" ht="20.100000000000001" customHeight="1" x14ac:dyDescent="0.3">
      <c r="X692" s="26"/>
    </row>
    <row r="693" spans="24:24" ht="20.100000000000001" customHeight="1" x14ac:dyDescent="0.3">
      <c r="X693" s="26"/>
    </row>
    <row r="694" spans="24:24" ht="20.100000000000001" customHeight="1" x14ac:dyDescent="0.3">
      <c r="X694" s="26"/>
    </row>
    <row r="695" spans="24:24" ht="20.100000000000001" customHeight="1" x14ac:dyDescent="0.3">
      <c r="X695" s="26"/>
    </row>
    <row r="696" spans="24:24" ht="20.100000000000001" customHeight="1" x14ac:dyDescent="0.3">
      <c r="X696" s="26"/>
    </row>
    <row r="697" spans="24:24" ht="20.100000000000001" customHeight="1" x14ac:dyDescent="0.3">
      <c r="X697" s="26"/>
    </row>
    <row r="698" spans="24:24" ht="20.100000000000001" customHeight="1" x14ac:dyDescent="0.3">
      <c r="X698" s="26"/>
    </row>
    <row r="699" spans="24:24" ht="20.100000000000001" customHeight="1" x14ac:dyDescent="0.3">
      <c r="X699" s="26"/>
    </row>
    <row r="700" spans="24:24" ht="20.100000000000001" customHeight="1" x14ac:dyDescent="0.3">
      <c r="X700" s="26"/>
    </row>
    <row r="701" spans="24:24" ht="20.100000000000001" customHeight="1" x14ac:dyDescent="0.3">
      <c r="X701" s="26"/>
    </row>
    <row r="702" spans="24:24" ht="20.100000000000001" customHeight="1" x14ac:dyDescent="0.3">
      <c r="X702" s="26"/>
    </row>
    <row r="703" spans="24:24" ht="20.100000000000001" customHeight="1" x14ac:dyDescent="0.3">
      <c r="X703" s="26"/>
    </row>
    <row r="704" spans="24:24" ht="20.100000000000001" customHeight="1" x14ac:dyDescent="0.3">
      <c r="X704" s="26"/>
    </row>
    <row r="705" spans="24:24" ht="20.100000000000001" customHeight="1" x14ac:dyDescent="0.3">
      <c r="X705" s="26"/>
    </row>
    <row r="706" spans="24:24" ht="20.100000000000001" customHeight="1" x14ac:dyDescent="0.3">
      <c r="X706" s="26"/>
    </row>
    <row r="707" spans="24:24" ht="20.100000000000001" customHeight="1" x14ac:dyDescent="0.3">
      <c r="X707" s="26"/>
    </row>
    <row r="708" spans="24:24" ht="20.100000000000001" customHeight="1" x14ac:dyDescent="0.3">
      <c r="X708" s="26"/>
    </row>
    <row r="709" spans="24:24" ht="20.100000000000001" customHeight="1" x14ac:dyDescent="0.3">
      <c r="X709" s="26"/>
    </row>
    <row r="710" spans="24:24" ht="20.100000000000001" customHeight="1" x14ac:dyDescent="0.3">
      <c r="X710" s="26"/>
    </row>
    <row r="711" spans="24:24" ht="20.100000000000001" customHeight="1" x14ac:dyDescent="0.3">
      <c r="X711" s="26"/>
    </row>
    <row r="712" spans="24:24" ht="20.100000000000001" customHeight="1" x14ac:dyDescent="0.3">
      <c r="X712" s="26"/>
    </row>
    <row r="713" spans="24:24" ht="20.100000000000001" customHeight="1" x14ac:dyDescent="0.3">
      <c r="X713" s="26"/>
    </row>
    <row r="714" spans="24:24" ht="20.100000000000001" customHeight="1" x14ac:dyDescent="0.3">
      <c r="X714" s="26"/>
    </row>
    <row r="715" spans="24:24" ht="20.100000000000001" customHeight="1" x14ac:dyDescent="0.3">
      <c r="X715" s="26"/>
    </row>
    <row r="716" spans="24:24" ht="20.100000000000001" customHeight="1" x14ac:dyDescent="0.3">
      <c r="X716" s="26"/>
    </row>
    <row r="717" spans="24:24" ht="20.100000000000001" customHeight="1" x14ac:dyDescent="0.3">
      <c r="X717" s="26"/>
    </row>
    <row r="718" spans="24:24" ht="20.100000000000001" customHeight="1" x14ac:dyDescent="0.3">
      <c r="X718" s="26"/>
    </row>
    <row r="719" spans="24:24" ht="20.100000000000001" customHeight="1" x14ac:dyDescent="0.3">
      <c r="X719" s="26"/>
    </row>
    <row r="720" spans="24:24" ht="20.100000000000001" customHeight="1" x14ac:dyDescent="0.3">
      <c r="X720" s="26"/>
    </row>
    <row r="721" spans="24:24" ht="20.100000000000001" customHeight="1" x14ac:dyDescent="0.3">
      <c r="X721" s="26"/>
    </row>
    <row r="722" spans="24:24" ht="20.100000000000001" customHeight="1" x14ac:dyDescent="0.3">
      <c r="X722" s="26"/>
    </row>
    <row r="723" spans="24:24" ht="20.100000000000001" customHeight="1" x14ac:dyDescent="0.3">
      <c r="X723" s="26"/>
    </row>
    <row r="724" spans="24:24" ht="20.100000000000001" customHeight="1" x14ac:dyDescent="0.3">
      <c r="X724" s="26"/>
    </row>
    <row r="725" spans="24:24" ht="20.100000000000001" customHeight="1" x14ac:dyDescent="0.3">
      <c r="X725" s="26"/>
    </row>
    <row r="726" spans="24:24" ht="20.100000000000001" customHeight="1" x14ac:dyDescent="0.3">
      <c r="X726" s="26"/>
    </row>
    <row r="727" spans="24:24" ht="20.100000000000001" customHeight="1" x14ac:dyDescent="0.3">
      <c r="X727" s="26"/>
    </row>
    <row r="728" spans="24:24" ht="20.100000000000001" customHeight="1" x14ac:dyDescent="0.3">
      <c r="X728" s="26"/>
    </row>
    <row r="729" spans="24:24" ht="20.100000000000001" customHeight="1" x14ac:dyDescent="0.3">
      <c r="X729" s="26"/>
    </row>
    <row r="730" spans="24:24" ht="20.100000000000001" customHeight="1" x14ac:dyDescent="0.3">
      <c r="X730" s="26"/>
    </row>
    <row r="731" spans="24:24" ht="20.100000000000001" customHeight="1" x14ac:dyDescent="0.3">
      <c r="X731" s="26"/>
    </row>
    <row r="732" spans="24:24" ht="20.100000000000001" customHeight="1" x14ac:dyDescent="0.3">
      <c r="X732" s="26"/>
    </row>
    <row r="733" spans="24:24" ht="20.100000000000001" customHeight="1" x14ac:dyDescent="0.3">
      <c r="X733" s="26"/>
    </row>
    <row r="734" spans="24:24" ht="20.100000000000001" customHeight="1" x14ac:dyDescent="0.3">
      <c r="X734" s="26"/>
    </row>
    <row r="735" spans="24:24" ht="20.100000000000001" customHeight="1" x14ac:dyDescent="0.3">
      <c r="X735" s="26"/>
    </row>
    <row r="736" spans="24:24" ht="20.100000000000001" customHeight="1" x14ac:dyDescent="0.3">
      <c r="X736" s="26"/>
    </row>
    <row r="737" spans="24:24" ht="20.100000000000001" customHeight="1" x14ac:dyDescent="0.3">
      <c r="X737" s="26"/>
    </row>
    <row r="738" spans="24:24" ht="20.100000000000001" customHeight="1" x14ac:dyDescent="0.3">
      <c r="X738" s="26"/>
    </row>
    <row r="739" spans="24:24" ht="20.100000000000001" customHeight="1" x14ac:dyDescent="0.3">
      <c r="X739" s="26"/>
    </row>
    <row r="740" spans="24:24" ht="20.100000000000001" customHeight="1" x14ac:dyDescent="0.3">
      <c r="X740" s="26"/>
    </row>
    <row r="741" spans="24:24" ht="20.100000000000001" customHeight="1" x14ac:dyDescent="0.3">
      <c r="X741" s="26"/>
    </row>
    <row r="742" spans="24:24" ht="20.100000000000001" customHeight="1" x14ac:dyDescent="0.3">
      <c r="X742" s="26"/>
    </row>
    <row r="743" spans="24:24" ht="20.100000000000001" customHeight="1" x14ac:dyDescent="0.3">
      <c r="X743" s="26"/>
    </row>
    <row r="744" spans="24:24" ht="20.100000000000001" customHeight="1" x14ac:dyDescent="0.3">
      <c r="X744" s="26"/>
    </row>
    <row r="745" spans="24:24" ht="20.100000000000001" customHeight="1" x14ac:dyDescent="0.3">
      <c r="X745" s="26"/>
    </row>
    <row r="746" spans="24:24" ht="20.100000000000001" customHeight="1" x14ac:dyDescent="0.3">
      <c r="X746" s="26"/>
    </row>
    <row r="747" spans="24:24" ht="20.100000000000001" customHeight="1" x14ac:dyDescent="0.3">
      <c r="X747" s="26"/>
    </row>
    <row r="748" spans="24:24" ht="20.100000000000001" customHeight="1" x14ac:dyDescent="0.3">
      <c r="X748" s="26"/>
    </row>
    <row r="749" spans="24:24" ht="20.100000000000001" customHeight="1" x14ac:dyDescent="0.3">
      <c r="X749" s="26"/>
    </row>
    <row r="750" spans="24:24" ht="20.100000000000001" customHeight="1" x14ac:dyDescent="0.3">
      <c r="X750" s="26"/>
    </row>
    <row r="751" spans="24:24" ht="20.100000000000001" customHeight="1" x14ac:dyDescent="0.3">
      <c r="X751" s="26"/>
    </row>
    <row r="752" spans="24:24" ht="20.100000000000001" customHeight="1" x14ac:dyDescent="0.3">
      <c r="X752" s="26"/>
    </row>
    <row r="753" spans="24:24" ht="20.100000000000001" customHeight="1" x14ac:dyDescent="0.3">
      <c r="X753" s="26"/>
    </row>
    <row r="754" spans="24:24" ht="20.100000000000001" customHeight="1" x14ac:dyDescent="0.3">
      <c r="X754" s="26"/>
    </row>
    <row r="755" spans="24:24" ht="20.100000000000001" customHeight="1" x14ac:dyDescent="0.3">
      <c r="X755" s="26"/>
    </row>
    <row r="756" spans="24:24" ht="20.100000000000001" customHeight="1" x14ac:dyDescent="0.3">
      <c r="X756" s="26"/>
    </row>
    <row r="757" spans="24:24" ht="20.100000000000001" customHeight="1" x14ac:dyDescent="0.3">
      <c r="X757" s="26"/>
    </row>
    <row r="758" spans="24:24" ht="20.100000000000001" customHeight="1" x14ac:dyDescent="0.3">
      <c r="X758" s="26"/>
    </row>
    <row r="759" spans="24:24" ht="20.100000000000001" customHeight="1" x14ac:dyDescent="0.3">
      <c r="X759" s="26"/>
    </row>
    <row r="760" spans="24:24" ht="20.100000000000001" customHeight="1" x14ac:dyDescent="0.3">
      <c r="X760" s="26"/>
    </row>
    <row r="761" spans="24:24" ht="20.100000000000001" customHeight="1" x14ac:dyDescent="0.3">
      <c r="X761" s="26"/>
    </row>
    <row r="762" spans="24:24" ht="20.100000000000001" customHeight="1" x14ac:dyDescent="0.3">
      <c r="X762" s="26"/>
    </row>
    <row r="763" spans="24:24" ht="20.100000000000001" customHeight="1" x14ac:dyDescent="0.3">
      <c r="X763" s="26"/>
    </row>
    <row r="764" spans="24:24" ht="20.100000000000001" customHeight="1" x14ac:dyDescent="0.3">
      <c r="X764" s="26"/>
    </row>
    <row r="765" spans="24:24" ht="20.100000000000001" customHeight="1" x14ac:dyDescent="0.3">
      <c r="X765" s="26"/>
    </row>
    <row r="766" spans="24:24" ht="20.100000000000001" customHeight="1" x14ac:dyDescent="0.3">
      <c r="X766" s="26"/>
    </row>
    <row r="767" spans="24:24" ht="20.100000000000001" customHeight="1" x14ac:dyDescent="0.3">
      <c r="X767" s="26"/>
    </row>
    <row r="768" spans="24:24" ht="20.100000000000001" customHeight="1" x14ac:dyDescent="0.3">
      <c r="X768" s="26"/>
    </row>
    <row r="769" spans="24:24" ht="20.100000000000001" customHeight="1" x14ac:dyDescent="0.3">
      <c r="X769" s="26"/>
    </row>
    <row r="770" spans="24:24" ht="20.100000000000001" customHeight="1" x14ac:dyDescent="0.3">
      <c r="X770" s="26"/>
    </row>
    <row r="771" spans="24:24" ht="20.100000000000001" customHeight="1" x14ac:dyDescent="0.3">
      <c r="X771" s="26"/>
    </row>
    <row r="772" spans="24:24" ht="20.100000000000001" customHeight="1" x14ac:dyDescent="0.3">
      <c r="X772" s="26"/>
    </row>
    <row r="773" spans="24:24" ht="20.100000000000001" customHeight="1" x14ac:dyDescent="0.3">
      <c r="X773" s="26"/>
    </row>
    <row r="774" spans="24:24" ht="20.100000000000001" customHeight="1" x14ac:dyDescent="0.3">
      <c r="X774" s="26"/>
    </row>
    <row r="775" spans="24:24" ht="20.100000000000001" customHeight="1" x14ac:dyDescent="0.3">
      <c r="X775" s="26"/>
    </row>
    <row r="776" spans="24:24" ht="20.100000000000001" customHeight="1" x14ac:dyDescent="0.3">
      <c r="X776" s="26"/>
    </row>
    <row r="777" spans="24:24" ht="20.100000000000001" customHeight="1" x14ac:dyDescent="0.3">
      <c r="X777" s="26"/>
    </row>
    <row r="778" spans="24:24" ht="20.100000000000001" customHeight="1" x14ac:dyDescent="0.3">
      <c r="X778" s="26"/>
    </row>
    <row r="779" spans="24:24" ht="20.100000000000001" customHeight="1" x14ac:dyDescent="0.3">
      <c r="X779" s="26"/>
    </row>
    <row r="780" spans="24:24" ht="20.100000000000001" customHeight="1" x14ac:dyDescent="0.3">
      <c r="X780" s="26"/>
    </row>
    <row r="781" spans="24:24" ht="20.100000000000001" customHeight="1" x14ac:dyDescent="0.3">
      <c r="X781" s="26"/>
    </row>
    <row r="782" spans="24:24" ht="20.100000000000001" customHeight="1" x14ac:dyDescent="0.3">
      <c r="X782" s="26"/>
    </row>
    <row r="783" spans="24:24" ht="20.100000000000001" customHeight="1" x14ac:dyDescent="0.3">
      <c r="X783" s="26"/>
    </row>
    <row r="784" spans="24:24" ht="20.100000000000001" customHeight="1" x14ac:dyDescent="0.3">
      <c r="X784" s="26"/>
    </row>
    <row r="785" spans="24:24" ht="20.100000000000001" customHeight="1" x14ac:dyDescent="0.3">
      <c r="X785" s="26"/>
    </row>
    <row r="786" spans="24:24" ht="20.100000000000001" customHeight="1" x14ac:dyDescent="0.3">
      <c r="X786" s="26"/>
    </row>
    <row r="787" spans="24:24" ht="20.100000000000001" customHeight="1" x14ac:dyDescent="0.3">
      <c r="X787" s="26"/>
    </row>
    <row r="788" spans="24:24" ht="20.100000000000001" customHeight="1" x14ac:dyDescent="0.3">
      <c r="X788" s="26"/>
    </row>
    <row r="789" spans="24:24" ht="20.100000000000001" customHeight="1" x14ac:dyDescent="0.3">
      <c r="X789" s="26"/>
    </row>
    <row r="790" spans="24:24" ht="20.100000000000001" customHeight="1" x14ac:dyDescent="0.3">
      <c r="X790" s="26"/>
    </row>
    <row r="791" spans="24:24" ht="20.100000000000001" customHeight="1" x14ac:dyDescent="0.3">
      <c r="X791" s="26"/>
    </row>
    <row r="792" spans="24:24" ht="20.100000000000001" customHeight="1" x14ac:dyDescent="0.3">
      <c r="X792" s="26"/>
    </row>
    <row r="793" spans="24:24" ht="20.100000000000001" customHeight="1" x14ac:dyDescent="0.3">
      <c r="X793" s="26"/>
    </row>
    <row r="794" spans="24:24" ht="20.100000000000001" customHeight="1" x14ac:dyDescent="0.3">
      <c r="X794" s="26"/>
    </row>
    <row r="795" spans="24:24" ht="20.100000000000001" customHeight="1" x14ac:dyDescent="0.3">
      <c r="X795" s="26"/>
    </row>
    <row r="796" spans="24:24" ht="20.100000000000001" customHeight="1" x14ac:dyDescent="0.3">
      <c r="X796" s="26"/>
    </row>
    <row r="797" spans="24:24" ht="20.100000000000001" customHeight="1" x14ac:dyDescent="0.3">
      <c r="X797" s="26"/>
    </row>
    <row r="798" spans="24:24" ht="20.100000000000001" customHeight="1" x14ac:dyDescent="0.3">
      <c r="X798" s="26"/>
    </row>
    <row r="799" spans="24:24" ht="20.100000000000001" customHeight="1" x14ac:dyDescent="0.3">
      <c r="X799" s="26"/>
    </row>
    <row r="800" spans="24:24" ht="20.100000000000001" customHeight="1" x14ac:dyDescent="0.3">
      <c r="X800" s="26"/>
    </row>
    <row r="801" spans="24:24" ht="20.100000000000001" customHeight="1" x14ac:dyDescent="0.3">
      <c r="X801" s="26"/>
    </row>
    <row r="802" spans="24:24" ht="20.100000000000001" customHeight="1" x14ac:dyDescent="0.3">
      <c r="X802" s="26"/>
    </row>
    <row r="803" spans="24:24" ht="20.100000000000001" customHeight="1" x14ac:dyDescent="0.3">
      <c r="X803" s="26"/>
    </row>
    <row r="804" spans="24:24" ht="20.100000000000001" customHeight="1" x14ac:dyDescent="0.3">
      <c r="X804" s="26"/>
    </row>
    <row r="805" spans="24:24" ht="20.100000000000001" customHeight="1" x14ac:dyDescent="0.3">
      <c r="X805" s="26"/>
    </row>
    <row r="806" spans="24:24" ht="20.100000000000001" customHeight="1" x14ac:dyDescent="0.3">
      <c r="X806" s="26"/>
    </row>
    <row r="807" spans="24:24" ht="20.100000000000001" customHeight="1" x14ac:dyDescent="0.3">
      <c r="X807" s="26"/>
    </row>
    <row r="808" spans="24:24" ht="20.100000000000001" customHeight="1" x14ac:dyDescent="0.3">
      <c r="X808" s="26"/>
    </row>
    <row r="809" spans="24:24" ht="20.100000000000001" customHeight="1" x14ac:dyDescent="0.3">
      <c r="X809" s="26"/>
    </row>
    <row r="810" spans="24:24" ht="20.100000000000001" customHeight="1" x14ac:dyDescent="0.3">
      <c r="X810" s="26"/>
    </row>
    <row r="811" spans="24:24" ht="20.100000000000001" customHeight="1" x14ac:dyDescent="0.3">
      <c r="X811" s="26"/>
    </row>
    <row r="812" spans="24:24" ht="20.100000000000001" customHeight="1" x14ac:dyDescent="0.3">
      <c r="X812" s="26"/>
    </row>
    <row r="813" spans="24:24" ht="20.100000000000001" customHeight="1" x14ac:dyDescent="0.3">
      <c r="X813" s="26"/>
    </row>
    <row r="814" spans="24:24" ht="20.100000000000001" customHeight="1" x14ac:dyDescent="0.3">
      <c r="X814" s="26"/>
    </row>
    <row r="815" spans="24:24" ht="20.100000000000001" customHeight="1" x14ac:dyDescent="0.3">
      <c r="X815" s="26"/>
    </row>
    <row r="816" spans="24:24" ht="20.100000000000001" customHeight="1" x14ac:dyDescent="0.3">
      <c r="X816" s="26"/>
    </row>
    <row r="817" spans="24:24" ht="20.100000000000001" customHeight="1" x14ac:dyDescent="0.3">
      <c r="X817" s="26"/>
    </row>
    <row r="818" spans="24:24" ht="20.100000000000001" customHeight="1" x14ac:dyDescent="0.3">
      <c r="X818" s="26"/>
    </row>
    <row r="819" spans="24:24" ht="20.100000000000001" customHeight="1" x14ac:dyDescent="0.3">
      <c r="X819" s="26"/>
    </row>
    <row r="820" spans="24:24" ht="20.100000000000001" customHeight="1" x14ac:dyDescent="0.3">
      <c r="X820" s="26"/>
    </row>
    <row r="821" spans="24:24" ht="20.100000000000001" customHeight="1" x14ac:dyDescent="0.3">
      <c r="X821" s="26"/>
    </row>
    <row r="822" spans="24:24" ht="20.100000000000001" customHeight="1" x14ac:dyDescent="0.3">
      <c r="X822" s="26"/>
    </row>
    <row r="823" spans="24:24" ht="20.100000000000001" customHeight="1" x14ac:dyDescent="0.3">
      <c r="X823" s="26"/>
    </row>
    <row r="824" spans="24:24" ht="20.100000000000001" customHeight="1" x14ac:dyDescent="0.3">
      <c r="X824" s="26"/>
    </row>
    <row r="825" spans="24:24" ht="20.100000000000001" customHeight="1" x14ac:dyDescent="0.3">
      <c r="X825" s="26"/>
    </row>
    <row r="826" spans="24:24" ht="20.100000000000001" customHeight="1" x14ac:dyDescent="0.3">
      <c r="X826" s="26"/>
    </row>
    <row r="827" spans="24:24" ht="20.100000000000001" customHeight="1" x14ac:dyDescent="0.3">
      <c r="X827" s="26"/>
    </row>
    <row r="828" spans="24:24" ht="20.100000000000001" customHeight="1" x14ac:dyDescent="0.3">
      <c r="X828" s="26"/>
    </row>
    <row r="829" spans="24:24" ht="20.100000000000001" customHeight="1" x14ac:dyDescent="0.3">
      <c r="X829" s="26"/>
    </row>
    <row r="830" spans="24:24" ht="20.100000000000001" customHeight="1" x14ac:dyDescent="0.3">
      <c r="X830" s="26"/>
    </row>
    <row r="831" spans="24:24" ht="20.100000000000001" customHeight="1" x14ac:dyDescent="0.3">
      <c r="X831" s="26"/>
    </row>
    <row r="832" spans="24:24" ht="20.100000000000001" customHeight="1" x14ac:dyDescent="0.3">
      <c r="X832" s="26"/>
    </row>
    <row r="833" spans="24:24" ht="20.100000000000001" customHeight="1" x14ac:dyDescent="0.3">
      <c r="X833" s="26"/>
    </row>
    <row r="834" spans="24:24" ht="20.100000000000001" customHeight="1" x14ac:dyDescent="0.3">
      <c r="X834" s="26"/>
    </row>
    <row r="835" spans="24:24" ht="20.100000000000001" customHeight="1" x14ac:dyDescent="0.3">
      <c r="X835" s="26"/>
    </row>
    <row r="836" spans="24:24" ht="20.100000000000001" customHeight="1" x14ac:dyDescent="0.3">
      <c r="X836" s="26"/>
    </row>
    <row r="837" spans="24:24" ht="20.100000000000001" customHeight="1" x14ac:dyDescent="0.3">
      <c r="X837" s="26"/>
    </row>
    <row r="838" spans="24:24" ht="20.100000000000001" customHeight="1" x14ac:dyDescent="0.3">
      <c r="X838" s="26"/>
    </row>
    <row r="839" spans="24:24" ht="20.100000000000001" customHeight="1" x14ac:dyDescent="0.3">
      <c r="X839" s="26"/>
    </row>
    <row r="840" spans="24:24" ht="20.100000000000001" customHeight="1" x14ac:dyDescent="0.3">
      <c r="X840" s="26"/>
    </row>
    <row r="841" spans="24:24" ht="20.100000000000001" customHeight="1" x14ac:dyDescent="0.3">
      <c r="X841" s="26"/>
    </row>
    <row r="842" spans="24:24" ht="20.100000000000001" customHeight="1" x14ac:dyDescent="0.3">
      <c r="X842" s="26"/>
    </row>
    <row r="843" spans="24:24" ht="20.100000000000001" customHeight="1" x14ac:dyDescent="0.3">
      <c r="X843" s="26"/>
    </row>
    <row r="844" spans="24:24" ht="20.100000000000001" customHeight="1" x14ac:dyDescent="0.3">
      <c r="X844" s="26"/>
    </row>
    <row r="845" spans="24:24" ht="20.100000000000001" customHeight="1" x14ac:dyDescent="0.3">
      <c r="X845" s="26"/>
    </row>
    <row r="846" spans="24:24" ht="20.100000000000001" customHeight="1" x14ac:dyDescent="0.3">
      <c r="X846" s="26"/>
    </row>
    <row r="847" spans="24:24" ht="20.100000000000001" customHeight="1" x14ac:dyDescent="0.3">
      <c r="X847" s="26"/>
    </row>
    <row r="848" spans="24:24" ht="20.100000000000001" customHeight="1" x14ac:dyDescent="0.3">
      <c r="X848" s="26"/>
    </row>
    <row r="849" spans="24:24" ht="20.100000000000001" customHeight="1" x14ac:dyDescent="0.3">
      <c r="X849" s="26"/>
    </row>
    <row r="850" spans="24:24" ht="20.100000000000001" customHeight="1" x14ac:dyDescent="0.3">
      <c r="X850" s="26"/>
    </row>
    <row r="851" spans="24:24" ht="20.100000000000001" customHeight="1" x14ac:dyDescent="0.3">
      <c r="X851" s="26"/>
    </row>
    <row r="852" spans="24:24" ht="20.100000000000001" customHeight="1" x14ac:dyDescent="0.3">
      <c r="X852" s="26"/>
    </row>
    <row r="853" spans="24:24" ht="20.100000000000001" customHeight="1" x14ac:dyDescent="0.3">
      <c r="X853" s="26"/>
    </row>
    <row r="854" spans="24:24" ht="20.100000000000001" customHeight="1" x14ac:dyDescent="0.3">
      <c r="X854" s="26"/>
    </row>
    <row r="855" spans="24:24" ht="20.100000000000001" customHeight="1" x14ac:dyDescent="0.3">
      <c r="X855" s="26"/>
    </row>
    <row r="856" spans="24:24" ht="20.100000000000001" customHeight="1" x14ac:dyDescent="0.3">
      <c r="X856" s="26"/>
    </row>
    <row r="857" spans="24:24" ht="20.100000000000001" customHeight="1" x14ac:dyDescent="0.3">
      <c r="X857" s="26"/>
    </row>
    <row r="858" spans="24:24" ht="20.100000000000001" customHeight="1" x14ac:dyDescent="0.3">
      <c r="X858" s="26"/>
    </row>
    <row r="859" spans="24:24" ht="20.100000000000001" customHeight="1" x14ac:dyDescent="0.3">
      <c r="X859" s="26"/>
    </row>
    <row r="860" spans="24:24" ht="20.100000000000001" customHeight="1" x14ac:dyDescent="0.3">
      <c r="X860" s="26"/>
    </row>
    <row r="861" spans="24:24" ht="20.100000000000001" customHeight="1" x14ac:dyDescent="0.3">
      <c r="X861" s="26"/>
    </row>
    <row r="862" spans="24:24" ht="20.100000000000001" customHeight="1" x14ac:dyDescent="0.3">
      <c r="X862" s="26"/>
    </row>
    <row r="863" spans="24:24" ht="20.100000000000001" customHeight="1" x14ac:dyDescent="0.3">
      <c r="X863" s="26"/>
    </row>
    <row r="864" spans="24:24" ht="20.100000000000001" customHeight="1" x14ac:dyDescent="0.3">
      <c r="X864" s="26"/>
    </row>
    <row r="865" spans="24:24" ht="20.100000000000001" customHeight="1" x14ac:dyDescent="0.3">
      <c r="X865" s="26"/>
    </row>
    <row r="866" spans="24:24" ht="20.100000000000001" customHeight="1" x14ac:dyDescent="0.3">
      <c r="X866" s="26"/>
    </row>
    <row r="867" spans="24:24" ht="20.100000000000001" customHeight="1" x14ac:dyDescent="0.3">
      <c r="X867" s="26"/>
    </row>
    <row r="868" spans="24:24" ht="20.100000000000001" customHeight="1" x14ac:dyDescent="0.3">
      <c r="X868" s="26"/>
    </row>
    <row r="869" spans="24:24" ht="20.100000000000001" customHeight="1" x14ac:dyDescent="0.3">
      <c r="X869" s="26"/>
    </row>
    <row r="870" spans="24:24" ht="20.100000000000001" customHeight="1" x14ac:dyDescent="0.3">
      <c r="X870" s="26"/>
    </row>
    <row r="871" spans="24:24" ht="20.100000000000001" customHeight="1" x14ac:dyDescent="0.3">
      <c r="X871" s="26"/>
    </row>
    <row r="872" spans="24:24" ht="20.100000000000001" customHeight="1" x14ac:dyDescent="0.3">
      <c r="X872" s="26"/>
    </row>
    <row r="873" spans="24:24" ht="20.100000000000001" customHeight="1" x14ac:dyDescent="0.3">
      <c r="X873" s="26"/>
    </row>
    <row r="874" spans="24:24" ht="20.100000000000001" customHeight="1" x14ac:dyDescent="0.3">
      <c r="X874" s="26"/>
    </row>
    <row r="875" spans="24:24" ht="20.100000000000001" customHeight="1" x14ac:dyDescent="0.3">
      <c r="X875" s="26"/>
    </row>
    <row r="876" spans="24:24" ht="20.100000000000001" customHeight="1" x14ac:dyDescent="0.3">
      <c r="X876" s="26"/>
    </row>
    <row r="877" spans="24:24" ht="20.100000000000001" customHeight="1" x14ac:dyDescent="0.3">
      <c r="X877" s="26"/>
    </row>
    <row r="878" spans="24:24" ht="20.100000000000001" customHeight="1" x14ac:dyDescent="0.3">
      <c r="X878" s="26"/>
    </row>
    <row r="879" spans="24:24" ht="20.100000000000001" customHeight="1" x14ac:dyDescent="0.3">
      <c r="X879" s="26"/>
    </row>
    <row r="880" spans="24:24" ht="20.100000000000001" customHeight="1" x14ac:dyDescent="0.3">
      <c r="X880" s="26"/>
    </row>
    <row r="881" spans="24:24" ht="20.100000000000001" customHeight="1" x14ac:dyDescent="0.3">
      <c r="X881" s="26"/>
    </row>
    <row r="882" spans="24:24" ht="20.100000000000001" customHeight="1" x14ac:dyDescent="0.3">
      <c r="X882" s="26"/>
    </row>
    <row r="883" spans="24:24" ht="20.100000000000001" customHeight="1" x14ac:dyDescent="0.3">
      <c r="X883" s="26"/>
    </row>
    <row r="884" spans="24:24" ht="20.100000000000001" customHeight="1" x14ac:dyDescent="0.3">
      <c r="X884" s="26"/>
    </row>
    <row r="885" spans="24:24" ht="20.100000000000001" customHeight="1" x14ac:dyDescent="0.3">
      <c r="X885" s="26"/>
    </row>
    <row r="886" spans="24:24" ht="20.100000000000001" customHeight="1" x14ac:dyDescent="0.3">
      <c r="X886" s="26"/>
    </row>
    <row r="887" spans="24:24" ht="20.100000000000001" customHeight="1" x14ac:dyDescent="0.3">
      <c r="X887" s="26"/>
    </row>
    <row r="888" spans="24:24" ht="20.100000000000001" customHeight="1" x14ac:dyDescent="0.3">
      <c r="X888" s="26"/>
    </row>
    <row r="889" spans="24:24" ht="20.100000000000001" customHeight="1" x14ac:dyDescent="0.3">
      <c r="X889" s="26"/>
    </row>
    <row r="890" spans="24:24" ht="20.100000000000001" customHeight="1" x14ac:dyDescent="0.3">
      <c r="X890" s="26"/>
    </row>
    <row r="891" spans="24:24" ht="20.100000000000001" customHeight="1" x14ac:dyDescent="0.3">
      <c r="X891" s="26"/>
    </row>
    <row r="892" spans="24:24" ht="20.100000000000001" customHeight="1" x14ac:dyDescent="0.3">
      <c r="X892" s="26"/>
    </row>
    <row r="893" spans="24:24" ht="20.100000000000001" customHeight="1" x14ac:dyDescent="0.3">
      <c r="X893" s="26"/>
    </row>
    <row r="894" spans="24:24" ht="20.100000000000001" customHeight="1" x14ac:dyDescent="0.3">
      <c r="X894" s="26"/>
    </row>
    <row r="895" spans="24:24" ht="20.100000000000001" customHeight="1" x14ac:dyDescent="0.3">
      <c r="X895" s="26"/>
    </row>
    <row r="896" spans="24:24" ht="20.100000000000001" customHeight="1" x14ac:dyDescent="0.3">
      <c r="X896" s="26"/>
    </row>
    <row r="897" spans="24:24" ht="20.100000000000001" customHeight="1" x14ac:dyDescent="0.3">
      <c r="X897" s="26"/>
    </row>
    <row r="898" spans="24:24" ht="20.100000000000001" customHeight="1" x14ac:dyDescent="0.3">
      <c r="X898" s="26"/>
    </row>
    <row r="899" spans="24:24" ht="20.100000000000001" customHeight="1" x14ac:dyDescent="0.3">
      <c r="X899" s="26"/>
    </row>
    <row r="900" spans="24:24" ht="20.100000000000001" customHeight="1" x14ac:dyDescent="0.3">
      <c r="X900" s="26"/>
    </row>
    <row r="901" spans="24:24" ht="20.100000000000001" customHeight="1" x14ac:dyDescent="0.3">
      <c r="X901" s="26"/>
    </row>
    <row r="902" spans="24:24" ht="20.100000000000001" customHeight="1" x14ac:dyDescent="0.3">
      <c r="X902" s="26"/>
    </row>
    <row r="903" spans="24:24" ht="20.100000000000001" customHeight="1" x14ac:dyDescent="0.3">
      <c r="X903" s="26"/>
    </row>
    <row r="904" spans="24:24" ht="20.100000000000001" customHeight="1" x14ac:dyDescent="0.3">
      <c r="X904" s="26"/>
    </row>
    <row r="905" spans="24:24" ht="20.100000000000001" customHeight="1" x14ac:dyDescent="0.3">
      <c r="X905" s="26"/>
    </row>
    <row r="906" spans="24:24" ht="20.100000000000001" customHeight="1" x14ac:dyDescent="0.3">
      <c r="X906" s="26"/>
    </row>
    <row r="907" spans="24:24" ht="20.100000000000001" customHeight="1" x14ac:dyDescent="0.3">
      <c r="X907" s="26"/>
    </row>
    <row r="908" spans="24:24" ht="20.100000000000001" customHeight="1" x14ac:dyDescent="0.3">
      <c r="X908" s="26"/>
    </row>
    <row r="909" spans="24:24" ht="20.100000000000001" customHeight="1" x14ac:dyDescent="0.3">
      <c r="X909" s="26"/>
    </row>
    <row r="910" spans="24:24" ht="20.100000000000001" customHeight="1" x14ac:dyDescent="0.3">
      <c r="X910" s="26"/>
    </row>
    <row r="911" spans="24:24" ht="20.100000000000001" customHeight="1" x14ac:dyDescent="0.3">
      <c r="X911" s="26"/>
    </row>
    <row r="912" spans="24:24" ht="20.100000000000001" customHeight="1" x14ac:dyDescent="0.3">
      <c r="X912" s="26"/>
    </row>
    <row r="913" spans="24:24" ht="20.100000000000001" customHeight="1" x14ac:dyDescent="0.3">
      <c r="X913" s="26"/>
    </row>
    <row r="914" spans="24:24" ht="20.100000000000001" customHeight="1" x14ac:dyDescent="0.3">
      <c r="X914" s="26"/>
    </row>
    <row r="915" spans="24:24" ht="20.100000000000001" customHeight="1" x14ac:dyDescent="0.3">
      <c r="X915" s="26"/>
    </row>
    <row r="916" spans="24:24" ht="20.100000000000001" customHeight="1" x14ac:dyDescent="0.3">
      <c r="X916" s="26"/>
    </row>
    <row r="917" spans="24:24" ht="20.100000000000001" customHeight="1" x14ac:dyDescent="0.3">
      <c r="X917" s="26"/>
    </row>
    <row r="918" spans="24:24" ht="20.100000000000001" customHeight="1" x14ac:dyDescent="0.3">
      <c r="X918" s="26"/>
    </row>
    <row r="919" spans="24:24" ht="20.100000000000001" customHeight="1" x14ac:dyDescent="0.3">
      <c r="X919" s="26"/>
    </row>
    <row r="920" spans="24:24" ht="20.100000000000001" customHeight="1" x14ac:dyDescent="0.3">
      <c r="X920" s="26"/>
    </row>
    <row r="921" spans="24:24" ht="20.100000000000001" customHeight="1" x14ac:dyDescent="0.3">
      <c r="X921" s="26"/>
    </row>
    <row r="922" spans="24:24" ht="20.100000000000001" customHeight="1" x14ac:dyDescent="0.3">
      <c r="X922" s="26"/>
    </row>
    <row r="923" spans="24:24" ht="20.100000000000001" customHeight="1" x14ac:dyDescent="0.3">
      <c r="X923" s="26"/>
    </row>
    <row r="924" spans="24:24" ht="20.100000000000001" customHeight="1" x14ac:dyDescent="0.3">
      <c r="X924" s="26"/>
    </row>
    <row r="925" spans="24:24" ht="20.100000000000001" customHeight="1" x14ac:dyDescent="0.3">
      <c r="X925" s="26"/>
    </row>
    <row r="926" spans="24:24" ht="20.100000000000001" customHeight="1" x14ac:dyDescent="0.3">
      <c r="X926" s="26"/>
    </row>
    <row r="927" spans="24:24" ht="20.100000000000001" customHeight="1" x14ac:dyDescent="0.3">
      <c r="X927" s="26"/>
    </row>
    <row r="928" spans="24:24" ht="20.100000000000001" customHeight="1" x14ac:dyDescent="0.3">
      <c r="X928" s="26"/>
    </row>
    <row r="929" spans="24:24" ht="20.100000000000001" customHeight="1" x14ac:dyDescent="0.3">
      <c r="X929" s="26"/>
    </row>
    <row r="930" spans="24:24" ht="20.100000000000001" customHeight="1" x14ac:dyDescent="0.3">
      <c r="X930" s="26"/>
    </row>
    <row r="931" spans="24:24" ht="20.100000000000001" customHeight="1" x14ac:dyDescent="0.3">
      <c r="X931" s="26"/>
    </row>
    <row r="932" spans="24:24" ht="20.100000000000001" customHeight="1" x14ac:dyDescent="0.3">
      <c r="X932" s="26"/>
    </row>
    <row r="933" spans="24:24" ht="20.100000000000001" customHeight="1" x14ac:dyDescent="0.3">
      <c r="X933" s="26"/>
    </row>
    <row r="934" spans="24:24" ht="20.100000000000001" customHeight="1" x14ac:dyDescent="0.3">
      <c r="X934" s="26"/>
    </row>
    <row r="935" spans="24:24" ht="20.100000000000001" customHeight="1" x14ac:dyDescent="0.3">
      <c r="X935" s="26"/>
    </row>
    <row r="936" spans="24:24" ht="20.100000000000001" customHeight="1" x14ac:dyDescent="0.3">
      <c r="X936" s="26"/>
    </row>
    <row r="937" spans="24:24" ht="20.100000000000001" customHeight="1" x14ac:dyDescent="0.3">
      <c r="X937" s="26"/>
    </row>
    <row r="938" spans="24:24" ht="20.100000000000001" customHeight="1" x14ac:dyDescent="0.3">
      <c r="X938" s="26"/>
    </row>
    <row r="939" spans="24:24" ht="20.100000000000001" customHeight="1" x14ac:dyDescent="0.3">
      <c r="X939" s="26"/>
    </row>
    <row r="940" spans="24:24" ht="20.100000000000001" customHeight="1" x14ac:dyDescent="0.3">
      <c r="X940" s="26"/>
    </row>
    <row r="941" spans="24:24" ht="20.100000000000001" customHeight="1" x14ac:dyDescent="0.3">
      <c r="X941" s="26"/>
    </row>
    <row r="942" spans="24:24" ht="20.100000000000001" customHeight="1" x14ac:dyDescent="0.3">
      <c r="X942" s="26"/>
    </row>
    <row r="943" spans="24:24" ht="20.100000000000001" customHeight="1" x14ac:dyDescent="0.3">
      <c r="X943" s="26"/>
    </row>
    <row r="944" spans="24:24" ht="20.100000000000001" customHeight="1" x14ac:dyDescent="0.3">
      <c r="X944" s="26"/>
    </row>
    <row r="945" spans="24:24" ht="20.100000000000001" customHeight="1" x14ac:dyDescent="0.3">
      <c r="X945" s="26"/>
    </row>
    <row r="946" spans="24:24" ht="20.100000000000001" customHeight="1" x14ac:dyDescent="0.3">
      <c r="X946" s="26"/>
    </row>
    <row r="947" spans="24:24" ht="20.100000000000001" customHeight="1" x14ac:dyDescent="0.3">
      <c r="X947" s="26"/>
    </row>
    <row r="948" spans="24:24" ht="20.100000000000001" customHeight="1" x14ac:dyDescent="0.3">
      <c r="X948" s="26"/>
    </row>
    <row r="949" spans="24:24" ht="20.100000000000001" customHeight="1" x14ac:dyDescent="0.3">
      <c r="X949" s="26"/>
    </row>
    <row r="950" spans="24:24" ht="20.100000000000001" customHeight="1" x14ac:dyDescent="0.3">
      <c r="X950" s="26"/>
    </row>
    <row r="951" spans="24:24" ht="20.100000000000001" customHeight="1" x14ac:dyDescent="0.3">
      <c r="X951" s="26"/>
    </row>
    <row r="952" spans="24:24" ht="20.100000000000001" customHeight="1" x14ac:dyDescent="0.3">
      <c r="X952" s="26"/>
    </row>
    <row r="953" spans="24:24" ht="20.100000000000001" customHeight="1" x14ac:dyDescent="0.3">
      <c r="X953" s="26"/>
    </row>
    <row r="954" spans="24:24" ht="20.100000000000001" customHeight="1" x14ac:dyDescent="0.3">
      <c r="X954" s="26"/>
    </row>
    <row r="955" spans="24:24" ht="20.100000000000001" customHeight="1" x14ac:dyDescent="0.3">
      <c r="X955" s="26"/>
    </row>
    <row r="956" spans="24:24" ht="20.100000000000001" customHeight="1" x14ac:dyDescent="0.3">
      <c r="X956" s="26"/>
    </row>
    <row r="957" spans="24:24" ht="20.100000000000001" customHeight="1" x14ac:dyDescent="0.3">
      <c r="X957" s="26"/>
    </row>
    <row r="958" spans="24:24" ht="20.100000000000001" customHeight="1" x14ac:dyDescent="0.3">
      <c r="X958" s="26"/>
    </row>
    <row r="959" spans="24:24" ht="20.100000000000001" customHeight="1" x14ac:dyDescent="0.3">
      <c r="X959" s="26"/>
    </row>
    <row r="960" spans="24:24" ht="20.100000000000001" customHeight="1" x14ac:dyDescent="0.3">
      <c r="X960" s="26"/>
    </row>
    <row r="961" spans="24:24" ht="20.100000000000001" customHeight="1" x14ac:dyDescent="0.3">
      <c r="X961" s="26"/>
    </row>
    <row r="962" spans="24:24" ht="20.100000000000001" customHeight="1" x14ac:dyDescent="0.3">
      <c r="X962" s="26"/>
    </row>
    <row r="963" spans="24:24" ht="20.100000000000001" customHeight="1" x14ac:dyDescent="0.3">
      <c r="X963" s="26"/>
    </row>
    <row r="964" spans="24:24" ht="20.100000000000001" customHeight="1" x14ac:dyDescent="0.3">
      <c r="X964" s="26"/>
    </row>
    <row r="965" spans="24:24" ht="20.100000000000001" customHeight="1" x14ac:dyDescent="0.3">
      <c r="X965" s="26"/>
    </row>
    <row r="966" spans="24:24" ht="20.100000000000001" customHeight="1" x14ac:dyDescent="0.3">
      <c r="X966" s="26"/>
    </row>
    <row r="967" spans="24:24" ht="20.100000000000001" customHeight="1" x14ac:dyDescent="0.3">
      <c r="X967" s="26"/>
    </row>
    <row r="968" spans="24:24" ht="20.100000000000001" customHeight="1" x14ac:dyDescent="0.3">
      <c r="X968" s="26"/>
    </row>
    <row r="969" spans="24:24" ht="20.100000000000001" customHeight="1" x14ac:dyDescent="0.3">
      <c r="X969" s="26"/>
    </row>
    <row r="970" spans="24:24" ht="20.100000000000001" customHeight="1" x14ac:dyDescent="0.3">
      <c r="X970" s="26"/>
    </row>
    <row r="971" spans="24:24" ht="20.100000000000001" customHeight="1" x14ac:dyDescent="0.3">
      <c r="X971" s="26"/>
    </row>
    <row r="972" spans="24:24" ht="20.100000000000001" customHeight="1" x14ac:dyDescent="0.3">
      <c r="X972" s="26"/>
    </row>
    <row r="973" spans="24:24" ht="20.100000000000001" customHeight="1" x14ac:dyDescent="0.3">
      <c r="X973" s="26"/>
    </row>
    <row r="974" spans="24:24" ht="20.100000000000001" customHeight="1" x14ac:dyDescent="0.3">
      <c r="X974" s="26"/>
    </row>
    <row r="975" spans="24:24" ht="20.100000000000001" customHeight="1" x14ac:dyDescent="0.3">
      <c r="X975" s="26"/>
    </row>
    <row r="976" spans="24:24" ht="20.100000000000001" customHeight="1" x14ac:dyDescent="0.3">
      <c r="X976" s="26"/>
    </row>
    <row r="977" spans="24:24" ht="20.100000000000001" customHeight="1" x14ac:dyDescent="0.3">
      <c r="X977" s="26"/>
    </row>
    <row r="978" spans="24:24" ht="20.100000000000001" customHeight="1" x14ac:dyDescent="0.3">
      <c r="X978" s="26"/>
    </row>
    <row r="979" spans="24:24" ht="20.100000000000001" customHeight="1" x14ac:dyDescent="0.3">
      <c r="X979" s="26"/>
    </row>
    <row r="980" spans="24:24" ht="20.100000000000001" customHeight="1" x14ac:dyDescent="0.3">
      <c r="X980" s="26"/>
    </row>
    <row r="981" spans="24:24" ht="20.100000000000001" customHeight="1" x14ac:dyDescent="0.3">
      <c r="X981" s="26"/>
    </row>
    <row r="982" spans="24:24" ht="20.100000000000001" customHeight="1" x14ac:dyDescent="0.3">
      <c r="X982" s="26"/>
    </row>
    <row r="983" spans="24:24" ht="20.100000000000001" customHeight="1" x14ac:dyDescent="0.3">
      <c r="X983" s="26"/>
    </row>
    <row r="984" spans="24:24" ht="20.100000000000001" customHeight="1" x14ac:dyDescent="0.3">
      <c r="X984" s="26"/>
    </row>
    <row r="985" spans="24:24" ht="20.100000000000001" customHeight="1" x14ac:dyDescent="0.3">
      <c r="X985" s="26"/>
    </row>
    <row r="986" spans="24:24" ht="20.100000000000001" customHeight="1" x14ac:dyDescent="0.3">
      <c r="X986" s="26"/>
    </row>
    <row r="987" spans="24:24" ht="20.100000000000001" customHeight="1" x14ac:dyDescent="0.3">
      <c r="X987" s="26"/>
    </row>
    <row r="988" spans="24:24" ht="20.100000000000001" customHeight="1" x14ac:dyDescent="0.3">
      <c r="X988" s="26"/>
    </row>
    <row r="989" spans="24:24" ht="20.100000000000001" customHeight="1" x14ac:dyDescent="0.3">
      <c r="X989" s="26"/>
    </row>
    <row r="990" spans="24:24" ht="20.100000000000001" customHeight="1" x14ac:dyDescent="0.3">
      <c r="X990" s="26"/>
    </row>
    <row r="991" spans="24:24" ht="20.100000000000001" customHeight="1" x14ac:dyDescent="0.3">
      <c r="X991" s="26"/>
    </row>
    <row r="992" spans="24:24" ht="20.100000000000001" customHeight="1" x14ac:dyDescent="0.3">
      <c r="X992" s="26"/>
    </row>
    <row r="993" spans="24:24" ht="20.100000000000001" customHeight="1" x14ac:dyDescent="0.3">
      <c r="X993" s="26"/>
    </row>
    <row r="994" spans="24:24" ht="20.100000000000001" customHeight="1" x14ac:dyDescent="0.3">
      <c r="X994" s="26"/>
    </row>
    <row r="995" spans="24:24" ht="20.100000000000001" customHeight="1" x14ac:dyDescent="0.3">
      <c r="X995" s="26"/>
    </row>
    <row r="996" spans="24:24" ht="20.100000000000001" customHeight="1" x14ac:dyDescent="0.3">
      <c r="X996" s="26"/>
    </row>
    <row r="997" spans="24:24" ht="20.100000000000001" customHeight="1" x14ac:dyDescent="0.3">
      <c r="X997" s="26"/>
    </row>
    <row r="998" spans="24:24" ht="20.100000000000001" customHeight="1" x14ac:dyDescent="0.3">
      <c r="X998" s="26"/>
    </row>
    <row r="999" spans="24:24" ht="20.100000000000001" customHeight="1" x14ac:dyDescent="0.3">
      <c r="X999" s="26"/>
    </row>
    <row r="1000" spans="24:24" ht="20.100000000000001" customHeight="1" x14ac:dyDescent="0.3">
      <c r="X1000" s="26"/>
    </row>
    <row r="1001" spans="24:24" ht="20.100000000000001" customHeight="1" x14ac:dyDescent="0.3">
      <c r="X1001" s="26"/>
    </row>
    <row r="1002" spans="24:24" ht="20.100000000000001" customHeight="1" x14ac:dyDescent="0.3">
      <c r="X1002" s="26"/>
    </row>
    <row r="1003" spans="24:24" ht="20.100000000000001" customHeight="1" x14ac:dyDescent="0.3">
      <c r="X1003" s="26"/>
    </row>
    <row r="1004" spans="24:24" ht="20.100000000000001" customHeight="1" x14ac:dyDescent="0.3">
      <c r="X1004" s="26"/>
    </row>
    <row r="1005" spans="24:24" ht="20.100000000000001" customHeight="1" x14ac:dyDescent="0.3">
      <c r="X1005" s="26"/>
    </row>
    <row r="1006" spans="24:24" ht="20.100000000000001" customHeight="1" x14ac:dyDescent="0.3">
      <c r="X1006" s="26"/>
    </row>
    <row r="1007" spans="24:24" ht="20.100000000000001" customHeight="1" x14ac:dyDescent="0.3">
      <c r="X1007" s="26"/>
    </row>
    <row r="1008" spans="24:24" ht="20.100000000000001" customHeight="1" x14ac:dyDescent="0.3">
      <c r="X1008" s="26"/>
    </row>
    <row r="1009" spans="24:24" ht="20.100000000000001" customHeight="1" x14ac:dyDescent="0.3">
      <c r="X1009" s="26"/>
    </row>
    <row r="1010" spans="24:24" ht="20.100000000000001" customHeight="1" x14ac:dyDescent="0.3">
      <c r="X1010" s="26"/>
    </row>
    <row r="1011" spans="24:24" ht="20.100000000000001" customHeight="1" x14ac:dyDescent="0.3">
      <c r="X1011" s="26"/>
    </row>
    <row r="1012" spans="24:24" ht="20.100000000000001" customHeight="1" x14ac:dyDescent="0.3">
      <c r="X1012" s="26"/>
    </row>
    <row r="1013" spans="24:24" ht="20.100000000000001" customHeight="1" x14ac:dyDescent="0.3">
      <c r="X1013" s="26"/>
    </row>
    <row r="1014" spans="24:24" ht="20.100000000000001" customHeight="1" x14ac:dyDescent="0.3">
      <c r="X1014" s="26"/>
    </row>
    <row r="1015" spans="24:24" ht="20.100000000000001" customHeight="1" x14ac:dyDescent="0.3">
      <c r="X1015" s="26"/>
    </row>
    <row r="1016" spans="24:24" ht="20.100000000000001" customHeight="1" x14ac:dyDescent="0.3">
      <c r="X1016" s="26"/>
    </row>
    <row r="1017" spans="24:24" ht="20.100000000000001" customHeight="1" x14ac:dyDescent="0.3">
      <c r="X1017" s="26"/>
    </row>
    <row r="1018" spans="24:24" ht="20.100000000000001" customHeight="1" x14ac:dyDescent="0.3">
      <c r="X1018" s="26"/>
    </row>
    <row r="1019" spans="24:24" ht="20.100000000000001" customHeight="1" x14ac:dyDescent="0.3">
      <c r="X1019" s="26"/>
    </row>
    <row r="1020" spans="24:24" ht="20.100000000000001" customHeight="1" x14ac:dyDescent="0.3">
      <c r="X1020" s="26"/>
    </row>
    <row r="1021" spans="24:24" ht="20.100000000000001" customHeight="1" x14ac:dyDescent="0.3">
      <c r="X1021" s="26"/>
    </row>
    <row r="1022" spans="24:24" ht="20.100000000000001" customHeight="1" x14ac:dyDescent="0.3">
      <c r="X1022" s="26"/>
    </row>
    <row r="1023" spans="24:24" ht="20.100000000000001" customHeight="1" x14ac:dyDescent="0.3">
      <c r="X1023" s="26"/>
    </row>
    <row r="1024" spans="24:24" ht="20.100000000000001" customHeight="1" x14ac:dyDescent="0.3">
      <c r="X1024" s="26"/>
    </row>
    <row r="1025" spans="24:24" ht="20.100000000000001" customHeight="1" x14ac:dyDescent="0.3">
      <c r="X1025" s="26"/>
    </row>
    <row r="1026" spans="24:24" ht="20.100000000000001" customHeight="1" x14ac:dyDescent="0.3">
      <c r="X1026" s="26"/>
    </row>
    <row r="1027" spans="24:24" ht="20.100000000000001" customHeight="1" x14ac:dyDescent="0.3">
      <c r="X1027" s="26"/>
    </row>
    <row r="1028" spans="24:24" ht="20.100000000000001" customHeight="1" x14ac:dyDescent="0.3">
      <c r="X1028" s="26"/>
    </row>
    <row r="1029" spans="24:24" ht="20.100000000000001" customHeight="1" x14ac:dyDescent="0.3">
      <c r="X1029" s="26"/>
    </row>
    <row r="1030" spans="24:24" ht="20.100000000000001" customHeight="1" x14ac:dyDescent="0.3">
      <c r="X1030" s="26"/>
    </row>
    <row r="1031" spans="24:24" ht="20.100000000000001" customHeight="1" x14ac:dyDescent="0.3">
      <c r="X1031" s="26"/>
    </row>
    <row r="1032" spans="24:24" ht="20.100000000000001" customHeight="1" x14ac:dyDescent="0.3">
      <c r="X1032" s="26"/>
    </row>
    <row r="1033" spans="24:24" x14ac:dyDescent="0.3">
      <c r="X1033" s="26"/>
    </row>
    <row r="1034" spans="24:24" x14ac:dyDescent="0.3">
      <c r="X1034" s="26"/>
    </row>
    <row r="1035" spans="24:24" x14ac:dyDescent="0.3">
      <c r="X1035" s="26"/>
    </row>
    <row r="1036" spans="24:24" x14ac:dyDescent="0.3">
      <c r="X1036" s="26"/>
    </row>
    <row r="1037" spans="24:24" x14ac:dyDescent="0.3">
      <c r="X1037" s="26"/>
    </row>
    <row r="1038" spans="24:24" x14ac:dyDescent="0.3">
      <c r="X1038" s="26"/>
    </row>
    <row r="1039" spans="24:24" x14ac:dyDescent="0.3">
      <c r="X1039" s="26"/>
    </row>
    <row r="1040" spans="24:24" x14ac:dyDescent="0.3">
      <c r="X1040" s="26"/>
    </row>
  </sheetData>
  <phoneticPr fontId="17"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F785C-1243-473B-B765-77011328C341}">
  <dimension ref="A1:BB20"/>
  <sheetViews>
    <sheetView topLeftCell="S1" workbookViewId="0">
      <selection activeCell="Z8" sqref="Z8"/>
    </sheetView>
  </sheetViews>
  <sheetFormatPr defaultRowHeight="14.4" x14ac:dyDescent="0.3"/>
  <cols>
    <col min="1" max="1" width="12.5546875" bestFit="1" customWidth="1"/>
    <col min="2" max="2" width="16.44140625" bestFit="1" customWidth="1"/>
    <col min="5" max="5" width="8.88671875" style="74"/>
    <col min="6" max="6" width="14.5546875" bestFit="1" customWidth="1"/>
    <col min="7" max="7" width="12.5546875" bestFit="1" customWidth="1"/>
    <col min="10" max="10" width="8.88671875" style="74"/>
    <col min="11" max="11" width="16.5546875" bestFit="1" customWidth="1"/>
    <col min="15" max="15" width="8.88671875" style="74"/>
    <col min="16" max="16" width="12.5546875" bestFit="1" customWidth="1"/>
    <col min="17" max="17" width="17.77734375" bestFit="1" customWidth="1"/>
    <col min="20" max="20" width="8.88671875" style="74"/>
    <col min="21" max="21" width="12.5546875" bestFit="1" customWidth="1"/>
    <col min="22" max="22" width="16.44140625" bestFit="1" customWidth="1"/>
    <col min="25" max="25" width="8.88671875" style="74"/>
    <col min="26" max="26" width="12.5546875" bestFit="1" customWidth="1"/>
    <col min="27" max="27" width="16.44140625" bestFit="1" customWidth="1"/>
    <col min="30" max="30" width="8.88671875" style="74"/>
    <col min="31" max="31" width="12.5546875" bestFit="1" customWidth="1"/>
    <col min="32" max="32" width="16.44140625" bestFit="1" customWidth="1"/>
    <col min="35" max="35" width="8.88671875" style="74"/>
    <col min="36" max="36" width="15.6640625" bestFit="1" customWidth="1"/>
    <col min="37" max="37" width="16.44140625" bestFit="1" customWidth="1"/>
    <col min="40" max="40" width="8.88671875" style="74"/>
    <col min="41" max="41" width="12.5546875" bestFit="1" customWidth="1"/>
    <col min="42" max="42" width="16.44140625" bestFit="1" customWidth="1"/>
    <col min="45" max="45" width="8.88671875" style="74"/>
    <col min="46" max="46" width="34.109375" bestFit="1" customWidth="1"/>
    <col min="47" max="47" width="16.44140625" bestFit="1" customWidth="1"/>
    <col min="48" max="48" width="10" bestFit="1" customWidth="1"/>
    <col min="49" max="49" width="3.88671875" bestFit="1" customWidth="1"/>
    <col min="50" max="50" width="5.33203125" style="74" bestFit="1" customWidth="1"/>
    <col min="51" max="51" width="12.5546875" bestFit="1" customWidth="1"/>
    <col min="52" max="52" width="16.44140625" bestFit="1" customWidth="1"/>
    <col min="53" max="53" width="10.77734375" bestFit="1" customWidth="1"/>
  </cols>
  <sheetData>
    <row r="1" spans="1:54" x14ac:dyDescent="0.3">
      <c r="A1" s="82" t="s">
        <v>371</v>
      </c>
      <c r="B1" s="82"/>
      <c r="C1" s="82"/>
      <c r="D1" s="82"/>
      <c r="F1" s="82" t="s">
        <v>376</v>
      </c>
      <c r="G1" s="82"/>
      <c r="H1" s="82"/>
      <c r="I1" s="82"/>
      <c r="K1" s="82" t="s">
        <v>378</v>
      </c>
      <c r="L1" s="82"/>
      <c r="M1" s="82"/>
      <c r="N1" s="82"/>
      <c r="P1" s="82" t="s">
        <v>413</v>
      </c>
      <c r="Q1" s="82"/>
      <c r="R1" s="82"/>
      <c r="S1" s="82"/>
      <c r="U1" s="82" t="s">
        <v>416</v>
      </c>
      <c r="V1" s="82"/>
      <c r="W1" s="82"/>
      <c r="X1" s="82"/>
      <c r="Z1" s="82" t="s">
        <v>423</v>
      </c>
      <c r="AA1" s="82"/>
      <c r="AB1" s="82"/>
      <c r="AC1" s="82"/>
      <c r="AE1" s="82" t="s">
        <v>424</v>
      </c>
      <c r="AF1" s="82"/>
      <c r="AG1" s="82"/>
      <c r="AH1" s="82"/>
      <c r="AJ1" s="82" t="s">
        <v>428</v>
      </c>
      <c r="AK1" s="82"/>
      <c r="AL1" s="82"/>
      <c r="AM1" s="82"/>
      <c r="AO1" s="82" t="s">
        <v>431</v>
      </c>
      <c r="AP1" s="82"/>
      <c r="AQ1" s="82"/>
      <c r="AR1" s="82"/>
      <c r="AT1" s="82" t="s">
        <v>433</v>
      </c>
      <c r="AU1" s="82"/>
      <c r="AV1" s="82"/>
      <c r="AW1" s="82"/>
      <c r="AY1" s="81" t="s">
        <v>437</v>
      </c>
      <c r="AZ1" s="81"/>
      <c r="BA1" s="81"/>
      <c r="BB1" s="81"/>
    </row>
    <row r="2" spans="1:54" x14ac:dyDescent="0.3">
      <c r="A2" s="82"/>
      <c r="B2" s="82"/>
      <c r="C2" s="82"/>
      <c r="D2" s="82"/>
      <c r="F2" s="82"/>
      <c r="G2" s="82"/>
      <c r="H2" s="82"/>
      <c r="I2" s="82"/>
      <c r="K2" s="82"/>
      <c r="L2" s="82"/>
      <c r="M2" s="82"/>
      <c r="N2" s="82"/>
      <c r="P2" s="82"/>
      <c r="Q2" s="82"/>
      <c r="R2" s="82"/>
      <c r="S2" s="82"/>
      <c r="U2" s="82"/>
      <c r="V2" s="82"/>
      <c r="W2" s="82"/>
      <c r="X2" s="82"/>
      <c r="Z2" s="82"/>
      <c r="AA2" s="82"/>
      <c r="AB2" s="82"/>
      <c r="AC2" s="82"/>
      <c r="AE2" s="82"/>
      <c r="AF2" s="82"/>
      <c r="AG2" s="82"/>
      <c r="AH2" s="82"/>
      <c r="AJ2" s="82"/>
      <c r="AK2" s="82"/>
      <c r="AL2" s="82"/>
      <c r="AM2" s="82"/>
      <c r="AO2" s="82"/>
      <c r="AP2" s="82"/>
      <c r="AQ2" s="82"/>
      <c r="AR2" s="82"/>
      <c r="AT2" s="82"/>
      <c r="AU2" s="82"/>
      <c r="AV2" s="82"/>
      <c r="AW2" s="82"/>
      <c r="AY2" s="81"/>
      <c r="AZ2" s="81"/>
      <c r="BA2" s="81"/>
      <c r="BB2" s="81"/>
    </row>
    <row r="3" spans="1:54" x14ac:dyDescent="0.3">
      <c r="A3" s="82"/>
      <c r="B3" s="82"/>
      <c r="C3" s="82"/>
      <c r="D3" s="82"/>
      <c r="F3" s="82"/>
      <c r="G3" s="82"/>
      <c r="H3" s="82"/>
      <c r="I3" s="82"/>
      <c r="K3" s="82"/>
      <c r="L3" s="82"/>
      <c r="M3" s="82"/>
      <c r="N3" s="82"/>
      <c r="P3" s="82"/>
      <c r="Q3" s="82"/>
      <c r="R3" s="82"/>
      <c r="S3" s="82"/>
      <c r="U3" s="82"/>
      <c r="V3" s="82"/>
      <c r="W3" s="82"/>
      <c r="X3" s="82"/>
      <c r="Z3" s="82"/>
      <c r="AA3" s="82"/>
      <c r="AB3" s="82"/>
      <c r="AC3" s="82"/>
      <c r="AE3" s="82"/>
      <c r="AF3" s="82"/>
      <c r="AG3" s="82"/>
      <c r="AH3" s="82"/>
      <c r="AJ3" s="82"/>
      <c r="AK3" s="82"/>
      <c r="AL3" s="82"/>
      <c r="AM3" s="82"/>
      <c r="AO3" s="82"/>
      <c r="AP3" s="82"/>
      <c r="AQ3" s="82"/>
      <c r="AR3" s="82"/>
      <c r="AT3" s="82"/>
      <c r="AU3" s="82"/>
      <c r="AV3" s="82"/>
      <c r="AW3" s="82"/>
      <c r="AY3" s="81"/>
      <c r="AZ3" s="81"/>
      <c r="BA3" s="81"/>
      <c r="BB3" s="81"/>
    </row>
    <row r="4" spans="1:54" x14ac:dyDescent="0.3">
      <c r="A4" s="82"/>
      <c r="B4" s="82"/>
      <c r="C4" s="82"/>
      <c r="D4" s="82"/>
      <c r="F4" s="82"/>
      <c r="G4" s="82"/>
      <c r="H4" s="82"/>
      <c r="I4" s="82"/>
      <c r="K4" s="82"/>
      <c r="L4" s="82"/>
      <c r="M4" s="82"/>
      <c r="N4" s="82"/>
      <c r="P4" s="82"/>
      <c r="Q4" s="82"/>
      <c r="R4" s="82"/>
      <c r="S4" s="82"/>
      <c r="U4" s="82"/>
      <c r="V4" s="82"/>
      <c r="W4" s="82"/>
      <c r="X4" s="82"/>
      <c r="Z4" s="82"/>
      <c r="AA4" s="82"/>
      <c r="AB4" s="82"/>
      <c r="AC4" s="82"/>
      <c r="AE4" s="82"/>
      <c r="AF4" s="82"/>
      <c r="AG4" s="82"/>
      <c r="AH4" s="82"/>
      <c r="AJ4" s="82"/>
      <c r="AK4" s="82"/>
      <c r="AL4" s="82"/>
      <c r="AM4" s="82"/>
      <c r="AO4" s="82"/>
      <c r="AP4" s="82"/>
      <c r="AQ4" s="82"/>
      <c r="AR4" s="82"/>
      <c r="AT4" s="82"/>
      <c r="AU4" s="82"/>
      <c r="AV4" s="82"/>
      <c r="AW4" s="82"/>
      <c r="AY4" s="81"/>
      <c r="AZ4" s="81"/>
      <c r="BA4" s="81"/>
      <c r="BB4" s="81"/>
    </row>
    <row r="5" spans="1:54" x14ac:dyDescent="0.3">
      <c r="A5" s="82"/>
      <c r="B5" s="82"/>
      <c r="C5" s="82"/>
      <c r="D5" s="82"/>
      <c r="F5" s="82"/>
      <c r="G5" s="82"/>
      <c r="H5" s="82"/>
      <c r="I5" s="82"/>
      <c r="K5" s="82"/>
      <c r="L5" s="82"/>
      <c r="M5" s="82"/>
      <c r="N5" s="82"/>
      <c r="P5" s="82"/>
      <c r="Q5" s="82"/>
      <c r="R5" s="82"/>
      <c r="S5" s="82"/>
      <c r="U5" s="82"/>
      <c r="V5" s="82"/>
      <c r="W5" s="82"/>
      <c r="X5" s="82"/>
      <c r="Z5" s="82"/>
      <c r="AA5" s="82"/>
      <c r="AB5" s="82"/>
      <c r="AC5" s="82"/>
      <c r="AE5" s="82"/>
      <c r="AF5" s="82"/>
      <c r="AG5" s="82"/>
      <c r="AH5" s="82"/>
      <c r="AJ5" s="82"/>
      <c r="AK5" s="82"/>
      <c r="AL5" s="82"/>
      <c r="AM5" s="82"/>
      <c r="AO5" s="82"/>
      <c r="AP5" s="82"/>
      <c r="AQ5" s="82"/>
      <c r="AR5" s="82"/>
      <c r="AT5" s="82"/>
      <c r="AU5" s="82"/>
      <c r="AV5" s="82"/>
      <c r="AW5" s="82"/>
      <c r="AY5" s="81"/>
      <c r="AZ5" s="81"/>
      <c r="BA5" s="81"/>
      <c r="BB5" s="81"/>
    </row>
    <row r="8" spans="1:54" x14ac:dyDescent="0.3">
      <c r="A8" s="72" t="s">
        <v>368</v>
      </c>
      <c r="B8" t="s">
        <v>370</v>
      </c>
      <c r="F8" t="s">
        <v>375</v>
      </c>
      <c r="K8" t="s">
        <v>377</v>
      </c>
      <c r="P8" s="72" t="s">
        <v>368</v>
      </c>
      <c r="Q8" t="s">
        <v>412</v>
      </c>
      <c r="U8" s="72" t="s">
        <v>368</v>
      </c>
      <c r="V8" t="s">
        <v>370</v>
      </c>
      <c r="Z8" s="72" t="s">
        <v>368</v>
      </c>
      <c r="AA8" t="s">
        <v>370</v>
      </c>
      <c r="AE8" s="72" t="s">
        <v>368</v>
      </c>
      <c r="AF8" t="s">
        <v>370</v>
      </c>
      <c r="AJ8" s="72" t="s">
        <v>368</v>
      </c>
      <c r="AK8" t="s">
        <v>370</v>
      </c>
      <c r="AO8" s="72" t="s">
        <v>368</v>
      </c>
      <c r="AP8" t="s">
        <v>370</v>
      </c>
      <c r="AT8" s="72" t="s">
        <v>368</v>
      </c>
      <c r="AU8" t="s">
        <v>370</v>
      </c>
      <c r="AY8" s="72" t="s">
        <v>368</v>
      </c>
      <c r="AZ8" t="s">
        <v>436</v>
      </c>
    </row>
    <row r="9" spans="1:54" x14ac:dyDescent="0.3">
      <c r="A9" s="73" t="s">
        <v>148</v>
      </c>
      <c r="B9">
        <v>88</v>
      </c>
      <c r="F9" s="76">
        <v>1292885.81544</v>
      </c>
      <c r="K9">
        <v>126</v>
      </c>
      <c r="P9" s="73" t="s">
        <v>156</v>
      </c>
      <c r="Q9" s="71">
        <v>22000</v>
      </c>
      <c r="U9" s="73" t="s">
        <v>7</v>
      </c>
      <c r="V9">
        <v>78</v>
      </c>
      <c r="Z9" s="73" t="s">
        <v>334</v>
      </c>
      <c r="AA9" s="85">
        <v>46</v>
      </c>
      <c r="AE9" s="73" t="s">
        <v>170</v>
      </c>
      <c r="AF9" s="85">
        <v>7</v>
      </c>
      <c r="AJ9" s="73" t="s">
        <v>426</v>
      </c>
      <c r="AK9" s="78">
        <v>0.42857142857142855</v>
      </c>
      <c r="AO9" s="73" t="s">
        <v>196</v>
      </c>
      <c r="AP9" s="77">
        <v>0.85</v>
      </c>
      <c r="AT9" s="73" t="s">
        <v>344</v>
      </c>
      <c r="AU9">
        <v>60</v>
      </c>
      <c r="AY9" s="73" t="s">
        <v>434</v>
      </c>
      <c r="AZ9">
        <v>91</v>
      </c>
    </row>
    <row r="10" spans="1:54" x14ac:dyDescent="0.3">
      <c r="A10" s="73" t="s">
        <v>159</v>
      </c>
      <c r="B10">
        <v>18</v>
      </c>
      <c r="P10" s="73" t="s">
        <v>159</v>
      </c>
      <c r="Q10" s="71">
        <v>14290.777777777777</v>
      </c>
      <c r="U10" s="73" t="s">
        <v>51</v>
      </c>
      <c r="V10">
        <v>16</v>
      </c>
      <c r="Z10" s="73" t="s">
        <v>333</v>
      </c>
      <c r="AA10" s="85">
        <v>37</v>
      </c>
      <c r="AE10" s="73" t="s">
        <v>334</v>
      </c>
      <c r="AF10" s="85">
        <v>6</v>
      </c>
      <c r="AJ10" s="73" t="s">
        <v>430</v>
      </c>
      <c r="AK10" s="78">
        <v>0.31746031746031744</v>
      </c>
      <c r="AO10" s="73" t="s">
        <v>234</v>
      </c>
      <c r="AP10" s="77">
        <v>0.125</v>
      </c>
      <c r="AT10" s="73" t="s">
        <v>339</v>
      </c>
      <c r="AU10">
        <v>24</v>
      </c>
      <c r="AY10" s="73" t="s">
        <v>435</v>
      </c>
      <c r="AZ10">
        <v>35</v>
      </c>
    </row>
    <row r="11" spans="1:54" x14ac:dyDescent="0.3">
      <c r="A11" s="73" t="s">
        <v>155</v>
      </c>
      <c r="B11">
        <v>17</v>
      </c>
      <c r="P11" s="73" t="s">
        <v>217</v>
      </c>
      <c r="Q11" s="71">
        <v>10000</v>
      </c>
      <c r="U11" s="73" t="s">
        <v>414</v>
      </c>
      <c r="V11">
        <v>13</v>
      </c>
      <c r="Z11" s="73" t="s">
        <v>170</v>
      </c>
      <c r="AA11" s="85">
        <v>6</v>
      </c>
      <c r="AE11" s="73" t="s">
        <v>300</v>
      </c>
      <c r="AF11" s="85">
        <v>3</v>
      </c>
      <c r="AJ11" s="73" t="s">
        <v>427</v>
      </c>
      <c r="AK11" s="78">
        <v>0.25396825396825395</v>
      </c>
      <c r="AO11" s="73" t="s">
        <v>190</v>
      </c>
      <c r="AP11" s="77">
        <v>2.5000000000000001E-2</v>
      </c>
      <c r="AT11" s="73" t="s">
        <v>348</v>
      </c>
      <c r="AU11">
        <v>11</v>
      </c>
      <c r="AY11" s="73" t="s">
        <v>369</v>
      </c>
      <c r="AZ11">
        <v>126</v>
      </c>
    </row>
    <row r="12" spans="1:54" x14ac:dyDescent="0.3">
      <c r="A12" s="73" t="s">
        <v>160</v>
      </c>
      <c r="B12">
        <v>1</v>
      </c>
      <c r="G12" s="84">
        <f>GETPIVOTDATA("سعر البيع ",$F$8)</f>
        <v>1292885.81544</v>
      </c>
      <c r="L12">
        <f>GETPIVOTDATA("أسم العميل",$K$8)</f>
        <v>126</v>
      </c>
      <c r="P12" s="73" t="s">
        <v>148</v>
      </c>
      <c r="Q12" s="71">
        <v>9585.747902727273</v>
      </c>
      <c r="U12" s="73" t="s">
        <v>42</v>
      </c>
      <c r="V12">
        <v>9</v>
      </c>
      <c r="Z12" s="73" t="s">
        <v>168</v>
      </c>
      <c r="AA12" s="85">
        <v>3</v>
      </c>
      <c r="AE12" s="73" t="s">
        <v>420</v>
      </c>
      <c r="AF12" s="85">
        <v>3</v>
      </c>
      <c r="AJ12" s="73" t="s">
        <v>369</v>
      </c>
      <c r="AK12" s="78">
        <v>1</v>
      </c>
      <c r="AO12" s="73" t="s">
        <v>369</v>
      </c>
      <c r="AP12" s="77">
        <v>1</v>
      </c>
      <c r="AT12" s="73" t="s">
        <v>349</v>
      </c>
      <c r="AU12">
        <v>8</v>
      </c>
    </row>
    <row r="13" spans="1:54" x14ac:dyDescent="0.3">
      <c r="A13" s="73" t="s">
        <v>156</v>
      </c>
      <c r="B13">
        <v>1</v>
      </c>
      <c r="P13" s="73" t="s">
        <v>160</v>
      </c>
      <c r="Q13" s="71">
        <v>9300</v>
      </c>
      <c r="U13" s="73" t="s">
        <v>210</v>
      </c>
      <c r="V13">
        <v>4</v>
      </c>
      <c r="Z13" s="73" t="s">
        <v>245</v>
      </c>
      <c r="AA13" s="85">
        <v>3</v>
      </c>
      <c r="AE13" s="73" t="s">
        <v>257</v>
      </c>
      <c r="AF13" s="85">
        <v>3</v>
      </c>
      <c r="AT13" s="73" t="s">
        <v>340</v>
      </c>
      <c r="AU13">
        <v>5</v>
      </c>
    </row>
    <row r="14" spans="1:54" x14ac:dyDescent="0.3">
      <c r="A14" s="73" t="s">
        <v>217</v>
      </c>
      <c r="B14">
        <v>1</v>
      </c>
      <c r="P14" s="73" t="s">
        <v>155</v>
      </c>
      <c r="Q14" s="71">
        <v>8870.9411764705874</v>
      </c>
      <c r="U14" s="73" t="s">
        <v>34</v>
      </c>
      <c r="V14">
        <v>3</v>
      </c>
      <c r="Z14" s="73" t="s">
        <v>232</v>
      </c>
      <c r="AA14" s="85">
        <v>2</v>
      </c>
      <c r="AE14" s="73" t="s">
        <v>333</v>
      </c>
      <c r="AF14" s="85">
        <v>2</v>
      </c>
      <c r="AT14" s="73" t="s">
        <v>359</v>
      </c>
      <c r="AU14">
        <v>4</v>
      </c>
    </row>
    <row r="15" spans="1:54" x14ac:dyDescent="0.3">
      <c r="A15" s="73" t="s">
        <v>369</v>
      </c>
      <c r="B15">
        <v>126</v>
      </c>
      <c r="P15" s="73" t="s">
        <v>369</v>
      </c>
      <c r="Q15">
        <v>10260.998535238095</v>
      </c>
      <c r="U15" s="73" t="s">
        <v>261</v>
      </c>
      <c r="V15">
        <v>2</v>
      </c>
      <c r="Z15" s="73" t="s">
        <v>174</v>
      </c>
      <c r="AA15" s="85">
        <v>2</v>
      </c>
      <c r="AE15" s="73" t="s">
        <v>216</v>
      </c>
      <c r="AF15" s="85">
        <v>2</v>
      </c>
      <c r="AT15" s="73" t="s">
        <v>343</v>
      </c>
      <c r="AU15">
        <v>3</v>
      </c>
    </row>
    <row r="16" spans="1:54" x14ac:dyDescent="0.3">
      <c r="U16" s="73" t="s">
        <v>415</v>
      </c>
      <c r="V16">
        <v>1</v>
      </c>
      <c r="Z16" s="73" t="s">
        <v>417</v>
      </c>
      <c r="AA16" s="85">
        <v>2</v>
      </c>
      <c r="AE16" s="73" t="s">
        <v>243</v>
      </c>
      <c r="AF16" s="85">
        <v>1</v>
      </c>
      <c r="AT16" s="73" t="s">
        <v>342</v>
      </c>
      <c r="AU16">
        <v>2</v>
      </c>
    </row>
    <row r="17" spans="2:47" x14ac:dyDescent="0.3">
      <c r="B17" t="s">
        <v>372</v>
      </c>
      <c r="C17" t="s">
        <v>373</v>
      </c>
      <c r="D17">
        <f>GETPIVOTDATA("Column1",$A$8,"Column1","سرير")</f>
        <v>88</v>
      </c>
      <c r="U17" s="73" t="s">
        <v>369</v>
      </c>
      <c r="V17">
        <v>126</v>
      </c>
      <c r="Z17" s="73" t="s">
        <v>171</v>
      </c>
      <c r="AA17" s="85">
        <v>2</v>
      </c>
      <c r="AE17" s="73" t="s">
        <v>316</v>
      </c>
      <c r="AF17" s="85">
        <v>1</v>
      </c>
      <c r="AT17" s="73" t="s">
        <v>357</v>
      </c>
      <c r="AU17">
        <v>1</v>
      </c>
    </row>
    <row r="18" spans="2:47" ht="43.2" x14ac:dyDescent="0.3">
      <c r="B18" t="s">
        <v>374</v>
      </c>
      <c r="C18" s="75" t="s">
        <v>438</v>
      </c>
      <c r="D18">
        <f>GETPIVOTDATA("Column1",$A$8,"Column1","شيزلونج")</f>
        <v>1</v>
      </c>
      <c r="Z18" s="73" t="s">
        <v>420</v>
      </c>
      <c r="AA18" s="85">
        <v>1</v>
      </c>
      <c r="AE18" s="73" t="s">
        <v>214</v>
      </c>
      <c r="AF18" s="85">
        <v>1</v>
      </c>
      <c r="AT18" s="73" t="s">
        <v>369</v>
      </c>
      <c r="AU18">
        <v>118</v>
      </c>
    </row>
    <row r="19" spans="2:47" x14ac:dyDescent="0.3">
      <c r="Z19" s="73" t="s">
        <v>212</v>
      </c>
      <c r="AA19" s="85">
        <v>1</v>
      </c>
      <c r="AE19" s="73" t="s">
        <v>418</v>
      </c>
      <c r="AF19" s="85">
        <v>1</v>
      </c>
    </row>
    <row r="20" spans="2:47" x14ac:dyDescent="0.3">
      <c r="Z20" s="73" t="s">
        <v>369</v>
      </c>
      <c r="AA20" s="85">
        <v>105</v>
      </c>
      <c r="AE20" s="73" t="s">
        <v>369</v>
      </c>
      <c r="AF20" s="85">
        <v>30</v>
      </c>
    </row>
  </sheetData>
  <mergeCells count="11">
    <mergeCell ref="A1:D5"/>
    <mergeCell ref="F1:I5"/>
    <mergeCell ref="K1:N5"/>
    <mergeCell ref="P1:S5"/>
    <mergeCell ref="U1:X5"/>
    <mergeCell ref="AY1:BB5"/>
    <mergeCell ref="Z1:AC5"/>
    <mergeCell ref="AE1:AH5"/>
    <mergeCell ref="AJ1:AM5"/>
    <mergeCell ref="AO1:AR5"/>
    <mergeCell ref="AT1:AW5"/>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FE84-DB1A-486D-90DC-1D83FA4199BB}">
  <dimension ref="A1:X59"/>
  <sheetViews>
    <sheetView showGridLines="0" tabSelected="1" topLeftCell="A10" workbookViewId="0">
      <selection activeCell="T13" sqref="T13"/>
    </sheetView>
  </sheetViews>
  <sheetFormatPr defaultRowHeight="14.4" x14ac:dyDescent="0.3"/>
  <sheetData>
    <row r="1" spans="1:24" x14ac:dyDescent="0.3">
      <c r="A1" s="83"/>
      <c r="B1" s="83"/>
      <c r="C1" s="83"/>
      <c r="D1" s="83"/>
      <c r="E1" s="83"/>
      <c r="F1" s="83"/>
      <c r="G1" s="83"/>
      <c r="H1" s="83"/>
      <c r="I1" s="83"/>
      <c r="J1" s="83"/>
      <c r="K1" s="83"/>
      <c r="L1" s="83"/>
      <c r="M1" s="83"/>
      <c r="N1" s="83"/>
      <c r="O1" s="83"/>
      <c r="P1" s="83"/>
      <c r="Q1" s="83"/>
      <c r="R1" s="83"/>
      <c r="S1" s="83"/>
      <c r="T1" s="83"/>
      <c r="U1" s="83"/>
      <c r="V1" s="83"/>
      <c r="W1" s="83"/>
      <c r="X1" s="83"/>
    </row>
    <row r="2" spans="1:24" x14ac:dyDescent="0.3">
      <c r="A2" s="83"/>
      <c r="B2" s="83"/>
      <c r="C2" s="83"/>
      <c r="D2" s="83"/>
      <c r="E2" s="83"/>
      <c r="F2" s="83"/>
      <c r="G2" s="83"/>
      <c r="H2" s="83"/>
      <c r="I2" s="83"/>
      <c r="J2" s="83"/>
      <c r="K2" s="83"/>
      <c r="L2" s="83"/>
      <c r="M2" s="83"/>
      <c r="N2" s="83"/>
      <c r="O2" s="83"/>
      <c r="P2" s="83"/>
      <c r="Q2" s="83"/>
      <c r="R2" s="83"/>
      <c r="S2" s="83"/>
      <c r="T2" s="83"/>
      <c r="U2" s="83"/>
      <c r="V2" s="83"/>
      <c r="W2" s="83"/>
      <c r="X2" s="83"/>
    </row>
    <row r="3" spans="1:24" x14ac:dyDescent="0.3">
      <c r="A3" s="83"/>
      <c r="B3" s="83"/>
      <c r="C3" s="83"/>
      <c r="D3" s="83"/>
      <c r="E3" s="83"/>
      <c r="F3" s="83"/>
      <c r="G3" s="83"/>
      <c r="H3" s="83"/>
      <c r="I3" s="83"/>
      <c r="J3" s="83"/>
      <c r="K3" s="83"/>
      <c r="L3" s="83"/>
      <c r="M3" s="83"/>
      <c r="N3" s="83"/>
      <c r="O3" s="83"/>
      <c r="P3" s="83"/>
      <c r="Q3" s="83"/>
      <c r="R3" s="83"/>
      <c r="S3" s="83"/>
      <c r="T3" s="83"/>
      <c r="U3" s="83"/>
      <c r="V3" s="83"/>
      <c r="W3" s="83"/>
      <c r="X3" s="83"/>
    </row>
    <row r="4" spans="1:24" x14ac:dyDescent="0.3">
      <c r="A4" s="83"/>
      <c r="B4" s="83"/>
      <c r="C4" s="83"/>
      <c r="D4" s="83"/>
      <c r="E4" s="83"/>
      <c r="F4" s="83"/>
      <c r="G4" s="83"/>
      <c r="H4" s="83"/>
      <c r="I4" s="83"/>
      <c r="J4" s="83"/>
      <c r="K4" s="83"/>
      <c r="L4" s="83"/>
      <c r="M4" s="83"/>
      <c r="N4" s="83"/>
      <c r="O4" s="83"/>
      <c r="P4" s="83"/>
      <c r="Q4" s="83"/>
      <c r="R4" s="83"/>
      <c r="S4" s="83"/>
      <c r="T4" s="83"/>
      <c r="U4" s="83"/>
      <c r="V4" s="83"/>
      <c r="W4" s="83"/>
      <c r="X4" s="83"/>
    </row>
    <row r="5" spans="1:24" x14ac:dyDescent="0.3">
      <c r="A5" s="83"/>
      <c r="B5" s="83"/>
      <c r="C5" s="83"/>
      <c r="D5" s="83"/>
      <c r="E5" s="83"/>
      <c r="F5" s="83"/>
      <c r="G5" s="83"/>
      <c r="H5" s="83"/>
      <c r="I5" s="83"/>
      <c r="J5" s="83"/>
      <c r="K5" s="83"/>
      <c r="L5" s="83"/>
      <c r="M5" s="83"/>
      <c r="N5" s="83"/>
      <c r="O5" s="83"/>
      <c r="P5" s="83"/>
      <c r="Q5" s="83"/>
      <c r="R5" s="83"/>
      <c r="S5" s="83"/>
      <c r="T5" s="83"/>
      <c r="U5" s="83"/>
      <c r="V5" s="83"/>
      <c r="W5" s="83"/>
      <c r="X5" s="83"/>
    </row>
    <row r="6" spans="1:24" x14ac:dyDescent="0.3">
      <c r="A6" s="83"/>
      <c r="B6" s="83"/>
      <c r="C6" s="83"/>
      <c r="D6" s="83"/>
      <c r="E6" s="83"/>
      <c r="F6" s="83"/>
      <c r="G6" s="83"/>
      <c r="H6" s="83"/>
      <c r="I6" s="83"/>
      <c r="J6" s="83"/>
      <c r="K6" s="83"/>
      <c r="L6" s="83"/>
      <c r="M6" s="83"/>
      <c r="N6" s="83"/>
      <c r="O6" s="83"/>
      <c r="P6" s="83"/>
      <c r="Q6" s="83"/>
      <c r="R6" s="83"/>
      <c r="S6" s="83"/>
      <c r="T6" s="83"/>
      <c r="U6" s="83"/>
      <c r="V6" s="83"/>
      <c r="W6" s="83"/>
      <c r="X6" s="83"/>
    </row>
    <row r="7" spans="1:24" x14ac:dyDescent="0.3">
      <c r="A7" s="83"/>
      <c r="B7" s="83"/>
      <c r="C7" s="83"/>
      <c r="D7" s="83"/>
      <c r="E7" s="83"/>
      <c r="F7" s="83"/>
      <c r="G7" s="83"/>
      <c r="H7" s="83"/>
      <c r="I7" s="83"/>
      <c r="J7" s="83"/>
      <c r="K7" s="83"/>
      <c r="L7" s="83"/>
      <c r="M7" s="83"/>
      <c r="N7" s="83"/>
      <c r="O7" s="83"/>
      <c r="P7" s="83"/>
      <c r="Q7" s="83"/>
      <c r="R7" s="83"/>
      <c r="S7" s="83"/>
      <c r="T7" s="83"/>
      <c r="U7" s="83"/>
      <c r="V7" s="83"/>
      <c r="W7" s="83"/>
      <c r="X7" s="83"/>
    </row>
    <row r="8" spans="1:24" x14ac:dyDescent="0.3">
      <c r="A8" s="83"/>
      <c r="B8" s="83"/>
      <c r="C8" s="83"/>
      <c r="D8" s="83"/>
      <c r="E8" s="83"/>
      <c r="F8" s="83"/>
      <c r="G8" s="83"/>
      <c r="H8" s="83"/>
      <c r="I8" s="83"/>
      <c r="J8" s="83"/>
      <c r="K8" s="83"/>
      <c r="L8" s="83"/>
      <c r="M8" s="83"/>
      <c r="N8" s="83"/>
      <c r="O8" s="83"/>
      <c r="P8" s="83"/>
      <c r="Q8" s="83"/>
      <c r="R8" s="83"/>
      <c r="S8" s="83"/>
      <c r="T8" s="83"/>
      <c r="U8" s="83"/>
      <c r="V8" s="83"/>
      <c r="W8" s="83"/>
      <c r="X8" s="83"/>
    </row>
    <row r="9" spans="1:24" x14ac:dyDescent="0.3">
      <c r="A9" s="83"/>
      <c r="B9" s="83"/>
      <c r="C9" s="83"/>
      <c r="D9" s="83"/>
      <c r="E9" s="83"/>
      <c r="F9" s="83"/>
      <c r="G9" s="83"/>
      <c r="H9" s="83"/>
      <c r="I9" s="83"/>
      <c r="J9" s="83"/>
      <c r="K9" s="83"/>
      <c r="L9" s="83"/>
      <c r="M9" s="83"/>
      <c r="N9" s="83"/>
      <c r="O9" s="83"/>
      <c r="P9" s="83"/>
      <c r="Q9" s="83"/>
      <c r="R9" s="83"/>
      <c r="S9" s="83"/>
      <c r="T9" s="83"/>
      <c r="U9" s="83"/>
      <c r="V9" s="83"/>
      <c r="W9" s="83"/>
      <c r="X9" s="83"/>
    </row>
    <row r="10" spans="1:24" x14ac:dyDescent="0.3">
      <c r="A10" s="83"/>
      <c r="B10" s="83"/>
      <c r="C10" s="83"/>
      <c r="D10" s="83"/>
      <c r="E10" s="83"/>
      <c r="F10" s="83"/>
      <c r="G10" s="83"/>
      <c r="H10" s="83"/>
      <c r="I10" s="83"/>
      <c r="J10" s="83"/>
      <c r="K10" s="83"/>
      <c r="L10" s="83"/>
      <c r="M10" s="83"/>
      <c r="N10" s="83"/>
      <c r="O10" s="83"/>
      <c r="P10" s="83"/>
      <c r="Q10" s="83"/>
      <c r="R10" s="83"/>
      <c r="S10" s="83"/>
      <c r="T10" s="83"/>
      <c r="U10" s="83"/>
      <c r="V10" s="83"/>
      <c r="W10" s="83"/>
      <c r="X10" s="83"/>
    </row>
    <row r="11" spans="1:24" x14ac:dyDescent="0.3">
      <c r="A11" s="83"/>
      <c r="B11" s="83"/>
      <c r="C11" s="83"/>
      <c r="D11" s="83"/>
      <c r="E11" s="83"/>
      <c r="F11" s="83"/>
      <c r="G11" s="83"/>
      <c r="H11" s="83"/>
      <c r="I11" s="83"/>
      <c r="J11" s="83"/>
      <c r="K11" s="83"/>
      <c r="L11" s="83"/>
      <c r="M11" s="83"/>
      <c r="N11" s="83"/>
      <c r="O11" s="83"/>
      <c r="P11" s="83"/>
      <c r="Q11" s="83"/>
      <c r="R11" s="83"/>
      <c r="S11" s="83"/>
      <c r="T11" s="83"/>
      <c r="U11" s="83"/>
      <c r="V11" s="83"/>
      <c r="W11" s="83"/>
      <c r="X11" s="83"/>
    </row>
    <row r="12" spans="1:24" x14ac:dyDescent="0.3">
      <c r="A12" s="83"/>
      <c r="B12" s="83"/>
      <c r="C12" s="83"/>
      <c r="D12" s="83"/>
      <c r="E12" s="83"/>
      <c r="F12" s="83"/>
      <c r="G12" s="83"/>
      <c r="H12" s="83"/>
      <c r="I12" s="83"/>
      <c r="J12" s="83"/>
      <c r="K12" s="83"/>
      <c r="L12" s="83"/>
      <c r="M12" s="83"/>
      <c r="N12" s="83"/>
      <c r="O12" s="83"/>
      <c r="P12" s="83"/>
      <c r="Q12" s="83"/>
      <c r="R12" s="83"/>
      <c r="S12" s="83"/>
      <c r="T12" s="83"/>
      <c r="U12" s="83"/>
      <c r="V12" s="83"/>
      <c r="W12" s="83"/>
      <c r="X12" s="83"/>
    </row>
    <row r="13" spans="1:24" x14ac:dyDescent="0.3">
      <c r="A13" s="83"/>
      <c r="B13" s="83"/>
      <c r="C13" s="83"/>
      <c r="D13" s="83"/>
      <c r="E13" s="83"/>
      <c r="F13" s="83"/>
      <c r="G13" s="83"/>
      <c r="H13" s="83"/>
      <c r="I13" s="83"/>
      <c r="J13" s="83"/>
      <c r="K13" s="83"/>
      <c r="L13" s="83"/>
      <c r="M13" s="83"/>
      <c r="N13" s="83"/>
      <c r="O13" s="83"/>
      <c r="P13" s="83"/>
      <c r="Q13" s="83"/>
      <c r="R13" s="83"/>
      <c r="S13" s="83"/>
      <c r="T13" s="83"/>
      <c r="U13" s="83"/>
      <c r="V13" s="83"/>
      <c r="W13" s="83"/>
      <c r="X13" s="83"/>
    </row>
    <row r="14" spans="1:24" x14ac:dyDescent="0.3">
      <c r="A14" s="83"/>
      <c r="B14" s="83"/>
      <c r="C14" s="83"/>
      <c r="D14" s="83"/>
      <c r="E14" s="83"/>
      <c r="F14" s="83"/>
      <c r="G14" s="83"/>
      <c r="H14" s="83"/>
      <c r="I14" s="83"/>
      <c r="J14" s="83"/>
      <c r="K14" s="83"/>
      <c r="L14" s="83"/>
      <c r="M14" s="83"/>
      <c r="N14" s="83"/>
      <c r="O14" s="83"/>
      <c r="P14" s="83"/>
      <c r="Q14" s="83"/>
      <c r="R14" s="83"/>
      <c r="S14" s="83"/>
      <c r="T14" s="83"/>
      <c r="U14" s="83"/>
      <c r="V14" s="83"/>
      <c r="W14" s="83"/>
      <c r="X14" s="83"/>
    </row>
    <row r="15" spans="1:24" x14ac:dyDescent="0.3">
      <c r="A15" s="83"/>
      <c r="B15" s="83"/>
      <c r="C15" s="83"/>
      <c r="D15" s="83"/>
      <c r="E15" s="83"/>
      <c r="F15" s="83"/>
      <c r="G15" s="83"/>
      <c r="H15" s="83"/>
      <c r="I15" s="83"/>
      <c r="J15" s="83"/>
      <c r="K15" s="83"/>
      <c r="L15" s="83"/>
      <c r="M15" s="83"/>
      <c r="N15" s="83"/>
      <c r="O15" s="83"/>
      <c r="P15" s="83"/>
      <c r="Q15" s="83"/>
      <c r="R15" s="83"/>
      <c r="S15" s="83"/>
      <c r="T15" s="83"/>
      <c r="U15" s="83"/>
      <c r="V15" s="83"/>
      <c r="W15" s="83"/>
      <c r="X15" s="83"/>
    </row>
    <row r="16" spans="1:24" x14ac:dyDescent="0.3">
      <c r="A16" s="83"/>
      <c r="B16" s="83"/>
      <c r="C16" s="83"/>
      <c r="D16" s="83"/>
      <c r="E16" s="83"/>
      <c r="F16" s="83"/>
      <c r="G16" s="83"/>
      <c r="H16" s="83"/>
      <c r="I16" s="83"/>
      <c r="J16" s="83"/>
      <c r="K16" s="83"/>
      <c r="L16" s="83"/>
      <c r="M16" s="83"/>
      <c r="N16" s="83"/>
      <c r="O16" s="83"/>
      <c r="P16" s="83"/>
      <c r="Q16" s="83"/>
      <c r="R16" s="83"/>
      <c r="S16" s="83"/>
      <c r="T16" s="83"/>
      <c r="U16" s="83"/>
      <c r="V16" s="83"/>
      <c r="W16" s="83"/>
      <c r="X16" s="83"/>
    </row>
    <row r="17" spans="1:24" x14ac:dyDescent="0.3">
      <c r="A17" s="83"/>
      <c r="B17" s="83"/>
      <c r="C17" s="83"/>
      <c r="D17" s="83"/>
      <c r="E17" s="83"/>
      <c r="F17" s="83"/>
      <c r="G17" s="83"/>
      <c r="H17" s="83"/>
      <c r="I17" s="83"/>
      <c r="J17" s="83"/>
      <c r="K17" s="83"/>
      <c r="L17" s="83"/>
      <c r="M17" s="83"/>
      <c r="N17" s="83"/>
      <c r="O17" s="83"/>
      <c r="P17" s="83"/>
      <c r="Q17" s="83"/>
      <c r="R17" s="83"/>
      <c r="S17" s="83"/>
      <c r="T17" s="83"/>
      <c r="U17" s="83"/>
      <c r="V17" s="83"/>
      <c r="W17" s="83"/>
      <c r="X17" s="83"/>
    </row>
    <row r="18" spans="1:24" x14ac:dyDescent="0.3">
      <c r="A18" s="83"/>
      <c r="B18" s="83"/>
      <c r="C18" s="83"/>
      <c r="D18" s="83"/>
      <c r="E18" s="83"/>
      <c r="F18" s="83"/>
      <c r="G18" s="83"/>
      <c r="H18" s="83"/>
      <c r="I18" s="83"/>
      <c r="J18" s="83"/>
      <c r="K18" s="83"/>
      <c r="L18" s="83"/>
      <c r="M18" s="83"/>
      <c r="N18" s="83"/>
      <c r="O18" s="83"/>
      <c r="P18" s="83"/>
      <c r="Q18" s="83"/>
      <c r="R18" s="83"/>
      <c r="S18" s="83"/>
      <c r="T18" s="83"/>
      <c r="U18" s="83"/>
      <c r="V18" s="83"/>
      <c r="W18" s="83"/>
      <c r="X18" s="83"/>
    </row>
    <row r="19" spans="1:24" x14ac:dyDescent="0.3">
      <c r="A19" s="83"/>
      <c r="B19" s="83"/>
      <c r="C19" s="83"/>
      <c r="D19" s="83"/>
      <c r="E19" s="83"/>
      <c r="F19" s="83"/>
      <c r="G19" s="83"/>
      <c r="H19" s="83"/>
      <c r="I19" s="83"/>
      <c r="J19" s="83"/>
      <c r="K19" s="83"/>
      <c r="L19" s="83"/>
      <c r="M19" s="83"/>
      <c r="N19" s="83"/>
      <c r="O19" s="83"/>
      <c r="P19" s="83"/>
      <c r="Q19" s="83"/>
      <c r="R19" s="83"/>
      <c r="S19" s="83"/>
      <c r="T19" s="83"/>
      <c r="U19" s="83"/>
      <c r="V19" s="83"/>
      <c r="W19" s="83"/>
      <c r="X19" s="83"/>
    </row>
    <row r="20" spans="1:24" x14ac:dyDescent="0.3">
      <c r="A20" s="83"/>
      <c r="B20" s="83"/>
      <c r="C20" s="83"/>
      <c r="D20" s="83"/>
      <c r="E20" s="83"/>
      <c r="F20" s="83"/>
      <c r="G20" s="83"/>
      <c r="H20" s="83"/>
      <c r="I20" s="83"/>
      <c r="J20" s="83"/>
      <c r="K20" s="83"/>
      <c r="L20" s="83"/>
      <c r="M20" s="83"/>
      <c r="N20" s="83"/>
      <c r="O20" s="83"/>
      <c r="P20" s="83"/>
      <c r="Q20" s="83"/>
      <c r="R20" s="83"/>
      <c r="S20" s="83"/>
      <c r="T20" s="83"/>
      <c r="U20" s="83"/>
      <c r="V20" s="83"/>
      <c r="W20" s="83"/>
      <c r="X20" s="83"/>
    </row>
    <row r="21" spans="1:24" x14ac:dyDescent="0.3">
      <c r="A21" s="83"/>
      <c r="B21" s="83"/>
      <c r="C21" s="83"/>
      <c r="D21" s="83"/>
      <c r="E21" s="83"/>
      <c r="F21" s="83"/>
      <c r="G21" s="83"/>
      <c r="H21" s="83"/>
      <c r="I21" s="83"/>
      <c r="J21" s="83"/>
      <c r="K21" s="83"/>
      <c r="L21" s="83"/>
      <c r="M21" s="83"/>
      <c r="N21" s="83"/>
      <c r="O21" s="83"/>
      <c r="P21" s="83"/>
      <c r="Q21" s="83"/>
      <c r="R21" s="83"/>
      <c r="S21" s="83"/>
      <c r="T21" s="83"/>
      <c r="U21" s="83"/>
      <c r="V21" s="83"/>
      <c r="W21" s="83"/>
      <c r="X21" s="83"/>
    </row>
    <row r="22" spans="1:24" x14ac:dyDescent="0.3">
      <c r="A22" s="83"/>
      <c r="B22" s="83"/>
      <c r="C22" s="83"/>
      <c r="D22" s="83"/>
      <c r="E22" s="83"/>
      <c r="F22" s="83"/>
      <c r="G22" s="83"/>
      <c r="H22" s="83"/>
      <c r="I22" s="83"/>
      <c r="J22" s="83"/>
      <c r="K22" s="83"/>
      <c r="L22" s="83"/>
      <c r="M22" s="83"/>
      <c r="N22" s="83"/>
      <c r="O22" s="83"/>
      <c r="P22" s="83"/>
      <c r="Q22" s="83"/>
      <c r="R22" s="83"/>
      <c r="S22" s="83"/>
      <c r="T22" s="83"/>
      <c r="U22" s="83"/>
      <c r="V22" s="83"/>
      <c r="W22" s="83"/>
      <c r="X22" s="83"/>
    </row>
    <row r="23" spans="1:24" x14ac:dyDescent="0.3">
      <c r="A23" s="83"/>
      <c r="B23" s="83"/>
      <c r="C23" s="83"/>
      <c r="D23" s="83"/>
      <c r="E23" s="83"/>
      <c r="F23" s="83"/>
      <c r="G23" s="83"/>
      <c r="H23" s="83"/>
      <c r="I23" s="83"/>
      <c r="J23" s="83"/>
      <c r="K23" s="83"/>
      <c r="L23" s="83"/>
      <c r="M23" s="83"/>
      <c r="N23" s="83"/>
      <c r="O23" s="83"/>
      <c r="P23" s="83"/>
      <c r="Q23" s="83"/>
      <c r="R23" s="83"/>
      <c r="S23" s="83"/>
      <c r="T23" s="83"/>
      <c r="U23" s="83"/>
      <c r="V23" s="83"/>
      <c r="W23" s="83"/>
      <c r="X23" s="83"/>
    </row>
    <row r="24" spans="1:24" x14ac:dyDescent="0.3">
      <c r="A24" s="83"/>
      <c r="B24" s="83"/>
      <c r="C24" s="83"/>
      <c r="D24" s="83"/>
      <c r="E24" s="83"/>
      <c r="F24" s="83"/>
      <c r="G24" s="83"/>
      <c r="H24" s="83"/>
      <c r="I24" s="83"/>
      <c r="J24" s="83"/>
      <c r="K24" s="83"/>
      <c r="L24" s="83"/>
      <c r="M24" s="83"/>
      <c r="N24" s="83"/>
      <c r="O24" s="83"/>
      <c r="P24" s="83"/>
      <c r="Q24" s="83"/>
      <c r="R24" s="83"/>
      <c r="S24" s="83"/>
      <c r="T24" s="83"/>
      <c r="U24" s="83"/>
      <c r="V24" s="83"/>
      <c r="W24" s="83"/>
      <c r="X24" s="83"/>
    </row>
    <row r="25" spans="1:24" x14ac:dyDescent="0.3">
      <c r="A25" s="83"/>
      <c r="B25" s="83"/>
      <c r="C25" s="83"/>
      <c r="D25" s="83"/>
      <c r="E25" s="83"/>
      <c r="F25" s="83"/>
      <c r="G25" s="83"/>
      <c r="H25" s="83"/>
      <c r="I25" s="83"/>
      <c r="J25" s="83"/>
      <c r="K25" s="83"/>
      <c r="L25" s="83"/>
      <c r="M25" s="83"/>
      <c r="N25" s="83"/>
      <c r="O25" s="83"/>
      <c r="P25" s="83"/>
      <c r="Q25" s="83"/>
      <c r="R25" s="83"/>
      <c r="S25" s="83"/>
      <c r="T25" s="83"/>
      <c r="U25" s="83"/>
      <c r="V25" s="83"/>
      <c r="W25" s="83"/>
      <c r="X25" s="83"/>
    </row>
    <row r="26" spans="1:24" x14ac:dyDescent="0.3">
      <c r="A26" s="83"/>
      <c r="B26" s="83"/>
      <c r="C26" s="83"/>
      <c r="D26" s="83"/>
      <c r="E26" s="83"/>
      <c r="F26" s="83"/>
      <c r="G26" s="83"/>
      <c r="H26" s="83"/>
      <c r="I26" s="83"/>
      <c r="J26" s="83"/>
      <c r="K26" s="83"/>
      <c r="L26" s="83"/>
      <c r="M26" s="83"/>
      <c r="N26" s="83"/>
      <c r="O26" s="83"/>
      <c r="P26" s="83"/>
      <c r="Q26" s="83"/>
      <c r="R26" s="83"/>
      <c r="S26" s="83"/>
      <c r="T26" s="83"/>
      <c r="U26" s="83"/>
      <c r="V26" s="83"/>
      <c r="W26" s="83"/>
      <c r="X26" s="83"/>
    </row>
    <row r="27" spans="1:24" x14ac:dyDescent="0.3">
      <c r="A27" s="83"/>
      <c r="B27" s="83"/>
      <c r="C27" s="83"/>
      <c r="D27" s="83"/>
      <c r="E27" s="83"/>
      <c r="F27" s="83"/>
      <c r="G27" s="83"/>
      <c r="H27" s="83"/>
      <c r="I27" s="83"/>
      <c r="J27" s="83"/>
      <c r="K27" s="83"/>
      <c r="L27" s="83"/>
      <c r="M27" s="83"/>
      <c r="N27" s="83"/>
      <c r="O27" s="83"/>
      <c r="P27" s="83"/>
      <c r="Q27" s="83"/>
      <c r="R27" s="83"/>
      <c r="S27" s="83"/>
      <c r="T27" s="83"/>
      <c r="U27" s="83"/>
      <c r="V27" s="83"/>
      <c r="W27" s="83"/>
      <c r="X27" s="83"/>
    </row>
    <row r="28" spans="1:24" x14ac:dyDescent="0.3">
      <c r="A28" s="83"/>
      <c r="B28" s="83"/>
      <c r="C28" s="83"/>
      <c r="D28" s="83"/>
      <c r="E28" s="83"/>
      <c r="F28" s="83"/>
      <c r="G28" s="83"/>
      <c r="H28" s="83"/>
      <c r="I28" s="83"/>
      <c r="J28" s="83"/>
      <c r="K28" s="83"/>
      <c r="L28" s="83"/>
      <c r="M28" s="83"/>
      <c r="N28" s="83"/>
      <c r="O28" s="83"/>
      <c r="P28" s="83"/>
      <c r="Q28" s="83"/>
      <c r="R28" s="83"/>
      <c r="S28" s="83"/>
      <c r="T28" s="83"/>
      <c r="U28" s="83"/>
      <c r="V28" s="83"/>
      <c r="W28" s="83"/>
      <c r="X28" s="83"/>
    </row>
    <row r="29" spans="1:24" x14ac:dyDescent="0.3">
      <c r="A29" s="83"/>
      <c r="B29" s="83"/>
      <c r="C29" s="83"/>
      <c r="D29" s="83"/>
      <c r="E29" s="83"/>
      <c r="F29" s="83"/>
      <c r="G29" s="83"/>
      <c r="H29" s="83"/>
      <c r="I29" s="83"/>
      <c r="J29" s="83"/>
      <c r="K29" s="83"/>
      <c r="L29" s="83"/>
      <c r="M29" s="83"/>
      <c r="N29" s="83"/>
      <c r="O29" s="83"/>
      <c r="P29" s="83"/>
      <c r="Q29" s="83"/>
      <c r="R29" s="83"/>
      <c r="S29" s="83"/>
      <c r="T29" s="83"/>
      <c r="U29" s="83"/>
      <c r="V29" s="83"/>
      <c r="W29" s="83"/>
      <c r="X29" s="83"/>
    </row>
    <row r="30" spans="1:24" x14ac:dyDescent="0.3">
      <c r="A30" s="83"/>
      <c r="B30" s="83"/>
      <c r="C30" s="83"/>
      <c r="D30" s="83"/>
      <c r="E30" s="83"/>
      <c r="F30" s="83"/>
      <c r="G30" s="83"/>
      <c r="H30" s="83"/>
      <c r="I30" s="83"/>
      <c r="J30" s="83"/>
      <c r="K30" s="83"/>
      <c r="L30" s="83"/>
      <c r="M30" s="83"/>
      <c r="N30" s="83"/>
      <c r="O30" s="83"/>
      <c r="P30" s="83"/>
      <c r="Q30" s="83"/>
      <c r="R30" s="83"/>
      <c r="S30" s="83"/>
      <c r="T30" s="83"/>
      <c r="U30" s="83"/>
      <c r="V30" s="83"/>
      <c r="W30" s="83"/>
      <c r="X30" s="83"/>
    </row>
    <row r="31" spans="1:24" x14ac:dyDescent="0.3">
      <c r="A31" s="83"/>
      <c r="B31" s="83"/>
      <c r="C31" s="83"/>
      <c r="D31" s="83"/>
      <c r="E31" s="83"/>
      <c r="F31" s="83"/>
      <c r="G31" s="83"/>
      <c r="H31" s="83"/>
      <c r="I31" s="83"/>
      <c r="J31" s="83"/>
      <c r="K31" s="83"/>
      <c r="L31" s="83"/>
      <c r="M31" s="83"/>
      <c r="N31" s="83"/>
      <c r="O31" s="83"/>
      <c r="P31" s="83"/>
      <c r="Q31" s="83"/>
      <c r="R31" s="83"/>
      <c r="S31" s="83"/>
      <c r="T31" s="83"/>
      <c r="U31" s="83"/>
      <c r="V31" s="83"/>
      <c r="W31" s="83"/>
      <c r="X31" s="83"/>
    </row>
    <row r="32" spans="1:24" x14ac:dyDescent="0.3">
      <c r="A32" s="83"/>
      <c r="B32" s="83"/>
      <c r="C32" s="83"/>
      <c r="D32" s="83"/>
      <c r="E32" s="83"/>
      <c r="F32" s="83"/>
      <c r="G32" s="83"/>
      <c r="H32" s="83"/>
      <c r="I32" s="83"/>
      <c r="J32" s="83"/>
      <c r="K32" s="83"/>
      <c r="L32" s="83"/>
      <c r="M32" s="83"/>
      <c r="N32" s="83"/>
      <c r="O32" s="83"/>
      <c r="P32" s="83"/>
      <c r="Q32" s="83"/>
      <c r="R32" s="83"/>
      <c r="S32" s="83"/>
      <c r="T32" s="83"/>
      <c r="U32" s="83"/>
      <c r="V32" s="83"/>
      <c r="W32" s="83"/>
      <c r="X32" s="83"/>
    </row>
    <row r="33" spans="1:24" x14ac:dyDescent="0.3">
      <c r="A33" s="83"/>
      <c r="B33" s="83"/>
      <c r="C33" s="83"/>
      <c r="D33" s="83"/>
      <c r="E33" s="83"/>
      <c r="F33" s="83"/>
      <c r="G33" s="83"/>
      <c r="H33" s="83"/>
      <c r="I33" s="83"/>
      <c r="J33" s="83"/>
      <c r="K33" s="83"/>
      <c r="L33" s="83"/>
      <c r="M33" s="83"/>
      <c r="N33" s="83"/>
      <c r="O33" s="83"/>
      <c r="P33" s="83"/>
      <c r="Q33" s="83"/>
      <c r="R33" s="83"/>
      <c r="S33" s="83"/>
      <c r="T33" s="83"/>
      <c r="U33" s="83"/>
      <c r="V33" s="83"/>
      <c r="W33" s="83"/>
      <c r="X33" s="83"/>
    </row>
    <row r="34" spans="1:24" x14ac:dyDescent="0.3">
      <c r="A34" s="83"/>
      <c r="B34" s="83"/>
      <c r="C34" s="83"/>
      <c r="D34" s="83"/>
      <c r="E34" s="83"/>
      <c r="F34" s="83"/>
      <c r="G34" s="83"/>
      <c r="H34" s="83"/>
      <c r="I34" s="83"/>
      <c r="J34" s="83"/>
      <c r="K34" s="83"/>
      <c r="L34" s="83"/>
      <c r="M34" s="83"/>
      <c r="N34" s="83"/>
      <c r="O34" s="83"/>
      <c r="P34" s="83"/>
      <c r="Q34" s="83"/>
      <c r="R34" s="83"/>
      <c r="S34" s="83"/>
      <c r="T34" s="83"/>
      <c r="U34" s="83"/>
      <c r="V34" s="83"/>
      <c r="W34" s="83"/>
      <c r="X34" s="83"/>
    </row>
    <row r="35" spans="1:24" x14ac:dyDescent="0.3">
      <c r="A35" s="83"/>
      <c r="B35" s="83"/>
      <c r="C35" s="83"/>
      <c r="D35" s="83"/>
      <c r="E35" s="83"/>
      <c r="F35" s="83"/>
      <c r="G35" s="83"/>
      <c r="H35" s="83"/>
      <c r="I35" s="83"/>
      <c r="J35" s="83"/>
      <c r="K35" s="83"/>
      <c r="L35" s="83"/>
      <c r="M35" s="83"/>
      <c r="N35" s="83"/>
      <c r="O35" s="83"/>
      <c r="P35" s="83"/>
      <c r="Q35" s="83"/>
      <c r="R35" s="83"/>
      <c r="S35" s="83"/>
      <c r="T35" s="83"/>
      <c r="U35" s="83"/>
      <c r="V35" s="83"/>
      <c r="W35" s="83"/>
      <c r="X35" s="83"/>
    </row>
    <row r="36" spans="1:24" x14ac:dyDescent="0.3">
      <c r="A36" s="83"/>
      <c r="B36" s="83"/>
      <c r="C36" s="83"/>
      <c r="D36" s="83"/>
      <c r="E36" s="83"/>
      <c r="F36" s="83"/>
      <c r="G36" s="83"/>
      <c r="H36" s="83"/>
      <c r="I36" s="83"/>
      <c r="J36" s="83"/>
      <c r="K36" s="83"/>
      <c r="L36" s="83"/>
      <c r="M36" s="83"/>
      <c r="N36" s="83"/>
      <c r="O36" s="83"/>
      <c r="P36" s="83"/>
      <c r="Q36" s="83"/>
      <c r="R36" s="83"/>
      <c r="S36" s="83"/>
      <c r="T36" s="83"/>
      <c r="U36" s="83"/>
      <c r="V36" s="83"/>
      <c r="W36" s="83"/>
      <c r="X36" s="83"/>
    </row>
    <row r="37" spans="1:24" x14ac:dyDescent="0.3">
      <c r="A37" s="83"/>
      <c r="B37" s="83"/>
      <c r="C37" s="83"/>
      <c r="D37" s="83"/>
      <c r="E37" s="83"/>
      <c r="F37" s="83"/>
      <c r="G37" s="83"/>
      <c r="H37" s="83"/>
      <c r="I37" s="83"/>
      <c r="J37" s="83"/>
      <c r="K37" s="83"/>
      <c r="L37" s="83"/>
      <c r="M37" s="83"/>
      <c r="N37" s="83"/>
      <c r="O37" s="83"/>
      <c r="P37" s="83"/>
      <c r="Q37" s="83"/>
      <c r="R37" s="83"/>
      <c r="S37" s="83"/>
      <c r="T37" s="83"/>
      <c r="U37" s="83"/>
      <c r="V37" s="83"/>
      <c r="W37" s="83"/>
      <c r="X37" s="83"/>
    </row>
    <row r="38" spans="1:24" x14ac:dyDescent="0.3">
      <c r="A38" s="83"/>
      <c r="B38" s="83"/>
      <c r="C38" s="83"/>
      <c r="D38" s="83"/>
      <c r="E38" s="83"/>
      <c r="F38" s="83"/>
      <c r="G38" s="83"/>
      <c r="H38" s="83"/>
      <c r="I38" s="83"/>
      <c r="J38" s="83"/>
      <c r="K38" s="83"/>
      <c r="L38" s="83"/>
      <c r="M38" s="83"/>
      <c r="N38" s="83"/>
      <c r="O38" s="83"/>
      <c r="P38" s="83"/>
      <c r="Q38" s="83"/>
      <c r="R38" s="83"/>
      <c r="S38" s="83"/>
      <c r="T38" s="83"/>
      <c r="U38" s="83"/>
      <c r="V38" s="83"/>
      <c r="W38" s="83"/>
      <c r="X38" s="83"/>
    </row>
    <row r="39" spans="1:24" x14ac:dyDescent="0.3">
      <c r="A39" s="83"/>
      <c r="B39" s="83"/>
      <c r="C39" s="83"/>
      <c r="D39" s="83"/>
      <c r="E39" s="83"/>
      <c r="F39" s="83"/>
      <c r="G39" s="83"/>
      <c r="H39" s="83"/>
      <c r="I39" s="83"/>
      <c r="J39" s="83"/>
      <c r="K39" s="83"/>
      <c r="L39" s="83"/>
      <c r="M39" s="83"/>
      <c r="N39" s="83"/>
      <c r="O39" s="83"/>
      <c r="P39" s="83"/>
      <c r="Q39" s="83"/>
      <c r="R39" s="83"/>
      <c r="S39" s="83"/>
      <c r="T39" s="83"/>
      <c r="U39" s="83"/>
      <c r="V39" s="83"/>
      <c r="W39" s="83"/>
      <c r="X39" s="83"/>
    </row>
    <row r="40" spans="1:24" x14ac:dyDescent="0.3">
      <c r="A40" s="83"/>
      <c r="B40" s="83"/>
      <c r="C40" s="83"/>
      <c r="D40" s="83"/>
      <c r="E40" s="83"/>
      <c r="F40" s="83"/>
      <c r="G40" s="83"/>
      <c r="H40" s="83"/>
      <c r="I40" s="83"/>
      <c r="J40" s="83"/>
      <c r="K40" s="83"/>
      <c r="L40" s="83"/>
      <c r="M40" s="83"/>
      <c r="N40" s="83"/>
      <c r="O40" s="83"/>
      <c r="P40" s="83"/>
      <c r="Q40" s="83"/>
      <c r="R40" s="83"/>
      <c r="S40" s="83"/>
      <c r="T40" s="83"/>
      <c r="U40" s="83"/>
      <c r="V40" s="83"/>
      <c r="W40" s="83"/>
      <c r="X40" s="83"/>
    </row>
    <row r="41" spans="1:24" x14ac:dyDescent="0.3">
      <c r="A41" s="83"/>
      <c r="B41" s="83"/>
      <c r="C41" s="83"/>
      <c r="D41" s="83"/>
      <c r="E41" s="83"/>
      <c r="F41" s="83"/>
      <c r="G41" s="83"/>
      <c r="H41" s="83"/>
      <c r="I41" s="83"/>
      <c r="J41" s="83"/>
      <c r="K41" s="83"/>
      <c r="L41" s="83"/>
      <c r="M41" s="83"/>
      <c r="N41" s="83"/>
      <c r="O41" s="83"/>
      <c r="P41" s="83"/>
      <c r="Q41" s="83"/>
      <c r="R41" s="83"/>
      <c r="S41" s="83"/>
      <c r="T41" s="83"/>
      <c r="U41" s="83"/>
      <c r="V41" s="83"/>
      <c r="W41" s="83"/>
      <c r="X41" s="83"/>
    </row>
    <row r="42" spans="1:24" x14ac:dyDescent="0.3">
      <c r="A42" s="83"/>
      <c r="B42" s="83"/>
      <c r="C42" s="83"/>
      <c r="D42" s="83"/>
      <c r="E42" s="83"/>
      <c r="F42" s="83"/>
      <c r="G42" s="83"/>
      <c r="H42" s="83"/>
      <c r="I42" s="83"/>
      <c r="J42" s="83"/>
      <c r="K42" s="83"/>
      <c r="L42" s="83"/>
      <c r="M42" s="83"/>
      <c r="N42" s="83"/>
      <c r="O42" s="83"/>
      <c r="P42" s="83"/>
      <c r="Q42" s="83"/>
      <c r="R42" s="83"/>
      <c r="S42" s="83"/>
      <c r="T42" s="83"/>
      <c r="U42" s="83"/>
      <c r="V42" s="83"/>
      <c r="W42" s="83"/>
      <c r="X42" s="83"/>
    </row>
    <row r="43" spans="1:24" x14ac:dyDescent="0.3">
      <c r="A43" s="83"/>
      <c r="B43" s="83"/>
      <c r="C43" s="83"/>
      <c r="D43" s="83"/>
      <c r="E43" s="83"/>
      <c r="F43" s="83"/>
      <c r="G43" s="83"/>
      <c r="H43" s="83"/>
      <c r="I43" s="83"/>
      <c r="J43" s="83"/>
      <c r="K43" s="83"/>
      <c r="L43" s="83"/>
      <c r="M43" s="83"/>
      <c r="N43" s="83"/>
      <c r="O43" s="83"/>
      <c r="P43" s="83"/>
      <c r="Q43" s="83"/>
      <c r="R43" s="83"/>
      <c r="S43" s="83"/>
      <c r="T43" s="83"/>
      <c r="U43" s="83"/>
      <c r="V43" s="83"/>
      <c r="W43" s="83"/>
      <c r="X43" s="83"/>
    </row>
    <row r="44" spans="1:24" x14ac:dyDescent="0.3">
      <c r="A44" s="83"/>
      <c r="B44" s="83"/>
      <c r="C44" s="83"/>
      <c r="D44" s="83"/>
      <c r="E44" s="83"/>
      <c r="F44" s="83"/>
      <c r="G44" s="83"/>
      <c r="H44" s="83"/>
      <c r="I44" s="83"/>
      <c r="J44" s="83"/>
      <c r="K44" s="83"/>
      <c r="L44" s="83"/>
      <c r="M44" s="83"/>
      <c r="N44" s="83"/>
      <c r="O44" s="83"/>
      <c r="P44" s="83"/>
      <c r="Q44" s="83"/>
      <c r="R44" s="83"/>
      <c r="S44" s="83"/>
      <c r="T44" s="83"/>
      <c r="U44" s="83"/>
      <c r="V44" s="83"/>
      <c r="W44" s="83"/>
      <c r="X44" s="83"/>
    </row>
    <row r="45" spans="1:24" x14ac:dyDescent="0.3">
      <c r="A45" s="83"/>
      <c r="B45" s="83"/>
      <c r="C45" s="83"/>
      <c r="D45" s="83"/>
      <c r="E45" s="83"/>
      <c r="F45" s="83"/>
      <c r="G45" s="83"/>
      <c r="H45" s="83"/>
      <c r="I45" s="83"/>
      <c r="J45" s="83"/>
      <c r="K45" s="83"/>
      <c r="L45" s="83"/>
      <c r="M45" s="83"/>
      <c r="N45" s="83"/>
      <c r="O45" s="83"/>
      <c r="P45" s="83"/>
      <c r="Q45" s="83"/>
      <c r="R45" s="83"/>
      <c r="S45" s="83"/>
      <c r="T45" s="83"/>
      <c r="U45" s="83"/>
      <c r="V45" s="83"/>
      <c r="W45" s="83"/>
      <c r="X45" s="83"/>
    </row>
    <row r="46" spans="1:24" x14ac:dyDescent="0.3">
      <c r="A46" s="83"/>
      <c r="B46" s="83"/>
      <c r="C46" s="83"/>
      <c r="D46" s="83"/>
      <c r="E46" s="83"/>
      <c r="F46" s="83"/>
      <c r="G46" s="83"/>
      <c r="H46" s="83"/>
      <c r="I46" s="83"/>
      <c r="J46" s="83"/>
      <c r="K46" s="83"/>
      <c r="L46" s="83"/>
      <c r="M46" s="83"/>
      <c r="N46" s="83"/>
      <c r="O46" s="83"/>
      <c r="P46" s="83"/>
      <c r="Q46" s="83"/>
      <c r="R46" s="83"/>
      <c r="S46" s="83"/>
      <c r="T46" s="83"/>
      <c r="U46" s="83"/>
      <c r="V46" s="83"/>
      <c r="W46" s="83"/>
      <c r="X46" s="83"/>
    </row>
    <row r="47" spans="1:24" x14ac:dyDescent="0.3">
      <c r="A47" s="83"/>
      <c r="B47" s="83"/>
      <c r="C47" s="83"/>
      <c r="D47" s="83"/>
      <c r="E47" s="83"/>
      <c r="F47" s="83"/>
      <c r="G47" s="83"/>
      <c r="H47" s="83"/>
      <c r="I47" s="83"/>
      <c r="J47" s="83"/>
      <c r="K47" s="83"/>
      <c r="L47" s="83"/>
      <c r="M47" s="83"/>
      <c r="N47" s="83"/>
      <c r="O47" s="83"/>
      <c r="P47" s="83"/>
      <c r="Q47" s="83"/>
      <c r="R47" s="83"/>
      <c r="S47" s="83"/>
      <c r="T47" s="83"/>
      <c r="U47" s="83"/>
      <c r="V47" s="83"/>
      <c r="W47" s="83"/>
      <c r="X47" s="83"/>
    </row>
    <row r="48" spans="1:24" x14ac:dyDescent="0.3">
      <c r="A48" s="83"/>
      <c r="B48" s="83"/>
      <c r="C48" s="83"/>
      <c r="D48" s="83"/>
      <c r="E48" s="83"/>
      <c r="F48" s="83"/>
      <c r="G48" s="83"/>
      <c r="H48" s="83"/>
      <c r="I48" s="83"/>
      <c r="J48" s="83"/>
      <c r="K48" s="83"/>
      <c r="L48" s="83"/>
      <c r="M48" s="83"/>
      <c r="N48" s="83"/>
      <c r="O48" s="83"/>
      <c r="P48" s="83"/>
      <c r="Q48" s="83"/>
      <c r="R48" s="83"/>
      <c r="S48" s="83"/>
      <c r="T48" s="83"/>
      <c r="U48" s="83"/>
      <c r="V48" s="83"/>
      <c r="W48" s="83"/>
      <c r="X48" s="83"/>
    </row>
    <row r="49" spans="1:24" x14ac:dyDescent="0.3">
      <c r="A49" s="83"/>
      <c r="B49" s="83"/>
      <c r="C49" s="83"/>
      <c r="D49" s="83"/>
      <c r="E49" s="83"/>
      <c r="F49" s="83"/>
      <c r="G49" s="83"/>
      <c r="H49" s="83"/>
      <c r="I49" s="83"/>
      <c r="J49" s="83"/>
      <c r="K49" s="83"/>
      <c r="L49" s="83"/>
      <c r="M49" s="83"/>
      <c r="N49" s="83"/>
      <c r="O49" s="83"/>
      <c r="P49" s="83"/>
      <c r="Q49" s="83"/>
      <c r="R49" s="83"/>
      <c r="S49" s="83"/>
      <c r="T49" s="83"/>
      <c r="U49" s="83"/>
      <c r="V49" s="83"/>
      <c r="W49" s="83"/>
      <c r="X49" s="83"/>
    </row>
    <row r="50" spans="1:24" x14ac:dyDescent="0.3">
      <c r="A50" s="83"/>
      <c r="B50" s="83"/>
      <c r="C50" s="83"/>
      <c r="D50" s="83"/>
      <c r="E50" s="83"/>
      <c r="F50" s="83"/>
      <c r="G50" s="83"/>
      <c r="H50" s="83"/>
      <c r="I50" s="83"/>
      <c r="J50" s="83"/>
      <c r="K50" s="83"/>
      <c r="L50" s="83"/>
      <c r="M50" s="83"/>
      <c r="N50" s="83"/>
      <c r="O50" s="83"/>
      <c r="P50" s="83"/>
      <c r="Q50" s="83"/>
      <c r="R50" s="83"/>
      <c r="S50" s="83"/>
      <c r="T50" s="83"/>
      <c r="U50" s="83"/>
      <c r="V50" s="83"/>
      <c r="W50" s="83"/>
      <c r="X50" s="83"/>
    </row>
    <row r="51" spans="1:24" x14ac:dyDescent="0.3">
      <c r="A51" s="83"/>
      <c r="B51" s="83"/>
      <c r="C51" s="83"/>
      <c r="D51" s="83"/>
      <c r="E51" s="83"/>
      <c r="F51" s="83"/>
      <c r="G51" s="83"/>
      <c r="H51" s="83"/>
      <c r="I51" s="83"/>
      <c r="J51" s="83"/>
      <c r="K51" s="83"/>
      <c r="L51" s="83"/>
      <c r="M51" s="83"/>
      <c r="N51" s="83"/>
      <c r="O51" s="83"/>
      <c r="P51" s="83"/>
      <c r="Q51" s="83"/>
      <c r="R51" s="83"/>
      <c r="S51" s="83"/>
      <c r="T51" s="83"/>
      <c r="U51" s="83"/>
      <c r="V51" s="83"/>
      <c r="W51" s="83"/>
      <c r="X51" s="83"/>
    </row>
    <row r="52" spans="1:24" x14ac:dyDescent="0.3">
      <c r="A52" s="83"/>
      <c r="B52" s="83"/>
      <c r="C52" s="83"/>
      <c r="D52" s="83"/>
      <c r="E52" s="83"/>
      <c r="F52" s="83"/>
      <c r="G52" s="83"/>
      <c r="H52" s="83"/>
      <c r="I52" s="83"/>
      <c r="J52" s="83"/>
      <c r="K52" s="83"/>
      <c r="L52" s="83"/>
      <c r="M52" s="83"/>
      <c r="N52" s="83"/>
      <c r="O52" s="83"/>
      <c r="P52" s="83"/>
      <c r="Q52" s="83"/>
      <c r="R52" s="83"/>
      <c r="S52" s="83"/>
      <c r="T52" s="83"/>
      <c r="U52" s="83"/>
      <c r="V52" s="83"/>
      <c r="W52" s="83"/>
      <c r="X52" s="83"/>
    </row>
    <row r="53" spans="1:24" x14ac:dyDescent="0.3">
      <c r="A53" s="83"/>
      <c r="B53" s="83"/>
      <c r="C53" s="83"/>
      <c r="D53" s="83"/>
      <c r="E53" s="83"/>
      <c r="F53" s="83"/>
      <c r="G53" s="83"/>
      <c r="H53" s="83"/>
      <c r="I53" s="83"/>
      <c r="J53" s="83"/>
      <c r="K53" s="83"/>
      <c r="L53" s="83"/>
      <c r="M53" s="83"/>
      <c r="N53" s="83"/>
      <c r="O53" s="83"/>
      <c r="P53" s="83"/>
      <c r="Q53" s="83"/>
      <c r="R53" s="83"/>
      <c r="S53" s="83"/>
      <c r="T53" s="83"/>
      <c r="U53" s="83"/>
      <c r="V53" s="83"/>
      <c r="W53" s="83"/>
      <c r="X53" s="83"/>
    </row>
    <row r="54" spans="1:24" x14ac:dyDescent="0.3">
      <c r="A54" s="83"/>
      <c r="B54" s="83"/>
      <c r="C54" s="83"/>
      <c r="D54" s="83"/>
      <c r="E54" s="83"/>
      <c r="F54" s="83"/>
      <c r="G54" s="83"/>
      <c r="H54" s="83"/>
      <c r="I54" s="83"/>
      <c r="J54" s="83"/>
      <c r="K54" s="83"/>
      <c r="L54" s="83"/>
      <c r="M54" s="83"/>
      <c r="N54" s="83"/>
      <c r="O54" s="83"/>
      <c r="P54" s="83"/>
      <c r="Q54" s="83"/>
      <c r="R54" s="83"/>
      <c r="S54" s="83"/>
      <c r="T54" s="83"/>
      <c r="U54" s="83"/>
      <c r="V54" s="83"/>
      <c r="W54" s="83"/>
      <c r="X54" s="83"/>
    </row>
    <row r="55" spans="1:24" x14ac:dyDescent="0.3">
      <c r="A55" s="83"/>
      <c r="B55" s="83"/>
      <c r="C55" s="83"/>
      <c r="D55" s="83"/>
      <c r="E55" s="83"/>
      <c r="F55" s="83"/>
      <c r="G55" s="83"/>
      <c r="H55" s="83"/>
      <c r="I55" s="83"/>
      <c r="J55" s="83"/>
      <c r="K55" s="83"/>
      <c r="L55" s="83"/>
      <c r="M55" s="83"/>
      <c r="N55" s="83"/>
      <c r="O55" s="83"/>
      <c r="P55" s="83"/>
      <c r="Q55" s="83"/>
      <c r="R55" s="83"/>
      <c r="S55" s="83"/>
      <c r="T55" s="83"/>
      <c r="U55" s="83"/>
      <c r="V55" s="83"/>
      <c r="W55" s="83"/>
      <c r="X55" s="83"/>
    </row>
    <row r="56" spans="1:24" x14ac:dyDescent="0.3">
      <c r="A56" s="83"/>
      <c r="B56" s="83"/>
      <c r="C56" s="83"/>
      <c r="D56" s="83"/>
      <c r="E56" s="83"/>
      <c r="F56" s="83"/>
      <c r="G56" s="83"/>
      <c r="H56" s="83"/>
      <c r="I56" s="83"/>
      <c r="J56" s="83"/>
      <c r="K56" s="83"/>
      <c r="L56" s="83"/>
      <c r="M56" s="83"/>
      <c r="N56" s="83"/>
      <c r="O56" s="83"/>
      <c r="P56" s="83"/>
      <c r="Q56" s="83"/>
      <c r="R56" s="83"/>
      <c r="S56" s="83"/>
      <c r="T56" s="83"/>
      <c r="U56" s="83"/>
      <c r="V56" s="83"/>
      <c r="W56" s="83"/>
      <c r="X56" s="83"/>
    </row>
    <row r="57" spans="1:24" x14ac:dyDescent="0.3">
      <c r="A57" s="83"/>
      <c r="B57" s="83"/>
      <c r="C57" s="83"/>
      <c r="D57" s="83"/>
      <c r="E57" s="83"/>
      <c r="F57" s="83"/>
      <c r="G57" s="83"/>
      <c r="H57" s="83"/>
      <c r="I57" s="83"/>
      <c r="J57" s="83"/>
      <c r="K57" s="83"/>
      <c r="L57" s="83"/>
      <c r="M57" s="83"/>
      <c r="N57" s="83"/>
      <c r="O57" s="83"/>
      <c r="P57" s="83"/>
      <c r="Q57" s="83"/>
      <c r="R57" s="83"/>
      <c r="S57" s="83"/>
      <c r="T57" s="83"/>
      <c r="U57" s="83"/>
      <c r="V57" s="83"/>
      <c r="W57" s="83"/>
      <c r="X57" s="83"/>
    </row>
    <row r="58" spans="1:24" x14ac:dyDescent="0.3">
      <c r="A58" s="83"/>
      <c r="B58" s="83"/>
      <c r="C58" s="83"/>
      <c r="D58" s="83"/>
      <c r="E58" s="83"/>
      <c r="F58" s="83"/>
      <c r="G58" s="83"/>
      <c r="H58" s="83"/>
      <c r="I58" s="83"/>
      <c r="J58" s="83"/>
      <c r="K58" s="83"/>
      <c r="L58" s="83"/>
      <c r="M58" s="83"/>
      <c r="N58" s="83"/>
      <c r="O58" s="83"/>
      <c r="P58" s="83"/>
      <c r="Q58" s="83"/>
      <c r="R58" s="83"/>
      <c r="S58" s="83"/>
      <c r="T58" s="83"/>
      <c r="U58" s="83"/>
      <c r="V58" s="83"/>
      <c r="W58" s="83"/>
      <c r="X58" s="83"/>
    </row>
    <row r="59" spans="1:24" x14ac:dyDescent="0.3">
      <c r="A59" s="83"/>
      <c r="B59" s="83"/>
      <c r="C59" s="83"/>
      <c r="D59" s="83"/>
      <c r="E59" s="83"/>
      <c r="F59" s="83"/>
      <c r="G59" s="83"/>
      <c r="H59" s="83"/>
      <c r="I59" s="83"/>
      <c r="J59" s="83"/>
      <c r="K59" s="83"/>
      <c r="L59" s="83"/>
      <c r="M59" s="83"/>
      <c r="N59" s="83"/>
      <c r="O59" s="83"/>
      <c r="P59" s="83"/>
      <c r="Q59" s="83"/>
      <c r="R59" s="83"/>
      <c r="S59" s="83"/>
      <c r="T59" s="83"/>
      <c r="U59" s="83"/>
      <c r="V59" s="83"/>
      <c r="W59" s="83"/>
      <c r="X59" s="8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D0475-72D2-4D9F-9EDF-6F22179CE98D}">
  <dimension ref="A1:T1040"/>
  <sheetViews>
    <sheetView rightToLeft="1" zoomScaleNormal="100" workbookViewId="0">
      <selection activeCell="E1" sqref="E1"/>
    </sheetView>
  </sheetViews>
  <sheetFormatPr defaultColWidth="8.88671875" defaultRowHeight="14.4" x14ac:dyDescent="0.3"/>
  <cols>
    <col min="1" max="1" width="8.33203125" style="26" bestFit="1" customWidth="1"/>
    <col min="2" max="2" width="16" style="26" bestFit="1" customWidth="1"/>
    <col min="3" max="3" width="15.5546875" style="26" bestFit="1" customWidth="1"/>
    <col min="4" max="4" width="16.33203125" style="26" bestFit="1" customWidth="1"/>
    <col min="5" max="5" width="30.88671875" style="26" bestFit="1" customWidth="1"/>
    <col min="6" max="6" width="16.109375" style="26" bestFit="1" customWidth="1"/>
    <col min="7" max="7" width="21.21875" style="26" customWidth="1"/>
    <col min="8" max="8" width="16.109375" style="26" customWidth="1"/>
    <col min="9" max="9" width="11.88671875" style="26" bestFit="1" customWidth="1"/>
    <col min="10" max="10" width="13" style="26" bestFit="1" customWidth="1"/>
    <col min="11" max="11" width="17.109375" style="26" bestFit="1" customWidth="1"/>
    <col min="12" max="12" width="16.109375" style="26" bestFit="1" customWidth="1"/>
    <col min="13" max="13" width="36.109375" style="26" bestFit="1" customWidth="1"/>
    <col min="14" max="14" width="15" style="26" bestFit="1" customWidth="1"/>
    <col min="15" max="15" width="17.21875" style="27" bestFit="1" customWidth="1"/>
    <col min="16" max="16" width="16.77734375" style="26" bestFit="1" customWidth="1"/>
    <col min="17" max="17" width="17.5546875" style="26" bestFit="1" customWidth="1"/>
    <col min="18" max="18" width="23.88671875" style="26" bestFit="1" customWidth="1"/>
    <col min="19" max="19" width="28" style="26" bestFit="1" customWidth="1"/>
    <col min="20" max="20" width="11.33203125" style="28" bestFit="1" customWidth="1"/>
    <col min="21" max="16384" width="8.88671875" style="1"/>
  </cols>
  <sheetData>
    <row r="1" spans="1:20" ht="20.100000000000001" customHeight="1" x14ac:dyDescent="0.3">
      <c r="A1" s="50" t="s">
        <v>5</v>
      </c>
      <c r="B1" s="51" t="s">
        <v>179</v>
      </c>
      <c r="C1" s="51" t="s">
        <v>180</v>
      </c>
      <c r="D1" s="51" t="s">
        <v>0</v>
      </c>
      <c r="E1" s="51" t="s">
        <v>1</v>
      </c>
      <c r="F1" s="51" t="s">
        <v>6</v>
      </c>
      <c r="G1" s="51" t="s">
        <v>331</v>
      </c>
      <c r="H1" s="51" t="s">
        <v>332</v>
      </c>
      <c r="I1" s="51" t="s">
        <v>172</v>
      </c>
      <c r="J1" s="51" t="s">
        <v>173</v>
      </c>
      <c r="K1" s="51" t="s">
        <v>177</v>
      </c>
      <c r="L1" s="51" t="s">
        <v>178</v>
      </c>
      <c r="M1" s="50" t="s">
        <v>2</v>
      </c>
      <c r="N1" s="51" t="s">
        <v>8</v>
      </c>
      <c r="O1" s="52" t="s">
        <v>9</v>
      </c>
      <c r="P1" s="51" t="s">
        <v>11</v>
      </c>
      <c r="Q1" s="51" t="s">
        <v>10</v>
      </c>
      <c r="R1" s="51" t="s">
        <v>3</v>
      </c>
      <c r="S1" s="51" t="s">
        <v>4</v>
      </c>
      <c r="T1" s="53" t="s">
        <v>188</v>
      </c>
    </row>
    <row r="2" spans="1:20" ht="20.100000000000001" customHeight="1" x14ac:dyDescent="0.3">
      <c r="A2" s="48">
        <v>1</v>
      </c>
      <c r="B2" s="61"/>
      <c r="C2" s="61"/>
      <c r="D2" s="30" t="s">
        <v>12</v>
      </c>
      <c r="E2" s="30" t="s">
        <v>13</v>
      </c>
      <c r="F2" s="30" t="s">
        <v>7</v>
      </c>
      <c r="G2" s="30" t="s">
        <v>148</v>
      </c>
      <c r="H2" s="30" t="s">
        <v>149</v>
      </c>
      <c r="I2" s="30"/>
      <c r="J2" s="30"/>
      <c r="K2" s="30"/>
      <c r="L2" s="30"/>
      <c r="M2" s="5" t="s">
        <v>14</v>
      </c>
      <c r="N2" s="30">
        <v>10160</v>
      </c>
      <c r="O2" s="31" t="s">
        <v>15</v>
      </c>
      <c r="P2" s="30" t="s">
        <v>16</v>
      </c>
      <c r="Q2" s="30" t="s">
        <v>17</v>
      </c>
      <c r="R2" s="32">
        <v>45514</v>
      </c>
      <c r="S2" s="30" t="s">
        <v>27</v>
      </c>
      <c r="T2" s="30" t="s">
        <v>189</v>
      </c>
    </row>
    <row r="3" spans="1:20" ht="20.100000000000001" customHeight="1" x14ac:dyDescent="0.3">
      <c r="A3" s="23">
        <v>2</v>
      </c>
      <c r="B3" s="62"/>
      <c r="C3" s="62"/>
      <c r="D3" s="5" t="s">
        <v>17</v>
      </c>
      <c r="E3" s="5" t="s">
        <v>18</v>
      </c>
      <c r="F3" s="5" t="s">
        <v>7</v>
      </c>
      <c r="G3" s="5" t="s">
        <v>148</v>
      </c>
      <c r="H3" s="5" t="s">
        <v>149</v>
      </c>
      <c r="I3" s="5"/>
      <c r="J3" s="5"/>
      <c r="K3" s="5"/>
      <c r="L3" s="5"/>
      <c r="M3" s="5" t="s">
        <v>19</v>
      </c>
      <c r="N3" s="5">
        <v>10160</v>
      </c>
      <c r="O3" s="6">
        <v>9749</v>
      </c>
      <c r="P3" s="5" t="s">
        <v>20</v>
      </c>
      <c r="Q3" s="5" t="s">
        <v>17</v>
      </c>
      <c r="R3" s="33">
        <v>45515</v>
      </c>
      <c r="S3" s="5" t="s">
        <v>27</v>
      </c>
      <c r="T3" s="5" t="s">
        <v>189</v>
      </c>
    </row>
    <row r="4" spans="1:20" ht="20.100000000000001" customHeight="1" x14ac:dyDescent="0.3">
      <c r="A4" s="24">
        <v>3</v>
      </c>
      <c r="B4" s="63"/>
      <c r="C4" s="63"/>
      <c r="D4" s="11" t="s">
        <v>21</v>
      </c>
      <c r="E4" s="11" t="s">
        <v>22</v>
      </c>
      <c r="F4" s="11" t="s">
        <v>7</v>
      </c>
      <c r="G4" s="11" t="s">
        <v>148</v>
      </c>
      <c r="H4" s="11" t="s">
        <v>163</v>
      </c>
      <c r="I4" s="11" t="s">
        <v>153</v>
      </c>
      <c r="J4" s="11">
        <v>90</v>
      </c>
      <c r="K4" s="11" t="s">
        <v>168</v>
      </c>
      <c r="L4" s="11"/>
      <c r="M4" s="11" t="s">
        <v>23</v>
      </c>
      <c r="N4" s="11">
        <v>11455</v>
      </c>
      <c r="O4" s="8">
        <v>10067.68</v>
      </c>
      <c r="P4" s="11" t="s">
        <v>16</v>
      </c>
      <c r="Q4" s="11" t="s">
        <v>25</v>
      </c>
      <c r="R4" s="11"/>
      <c r="S4" s="11" t="s">
        <v>36</v>
      </c>
      <c r="T4" s="11" t="s">
        <v>190</v>
      </c>
    </row>
    <row r="5" spans="1:20" ht="20.100000000000001" customHeight="1" x14ac:dyDescent="0.3">
      <c r="A5" s="23">
        <v>4</v>
      </c>
      <c r="B5" s="62"/>
      <c r="C5" s="62"/>
      <c r="D5" s="5" t="s">
        <v>24</v>
      </c>
      <c r="E5" s="5" t="s">
        <v>25</v>
      </c>
      <c r="F5" s="5" t="s">
        <v>7</v>
      </c>
      <c r="G5" s="5" t="s">
        <v>155</v>
      </c>
      <c r="H5" s="5"/>
      <c r="I5" s="5"/>
      <c r="J5" s="5"/>
      <c r="K5" s="5"/>
      <c r="L5" s="5"/>
      <c r="M5" s="5" t="s">
        <v>26</v>
      </c>
      <c r="N5" s="5">
        <v>8642</v>
      </c>
      <c r="O5" s="6" t="s">
        <v>15</v>
      </c>
      <c r="P5" s="7">
        <v>45529</v>
      </c>
      <c r="Q5" s="7">
        <v>45542</v>
      </c>
      <c r="R5" s="7">
        <v>45531</v>
      </c>
      <c r="S5" s="5" t="s">
        <v>27</v>
      </c>
      <c r="T5" s="5" t="s">
        <v>189</v>
      </c>
    </row>
    <row r="6" spans="1:20" ht="20.100000000000001" customHeight="1" x14ac:dyDescent="0.3">
      <c r="A6" s="24">
        <v>5</v>
      </c>
      <c r="B6" s="63"/>
      <c r="C6" s="63"/>
      <c r="D6" s="11" t="s">
        <v>28</v>
      </c>
      <c r="E6" s="11" t="s">
        <v>22</v>
      </c>
      <c r="F6" s="11" t="s">
        <v>7</v>
      </c>
      <c r="G6" s="11" t="s">
        <v>148</v>
      </c>
      <c r="H6" s="11" t="s">
        <v>163</v>
      </c>
      <c r="I6" s="11" t="s">
        <v>150</v>
      </c>
      <c r="J6" s="11">
        <v>100</v>
      </c>
      <c r="K6" s="11" t="s">
        <v>170</v>
      </c>
      <c r="L6" s="11"/>
      <c r="M6" s="11" t="s">
        <v>29</v>
      </c>
      <c r="N6" s="11">
        <v>12833</v>
      </c>
      <c r="O6" s="8">
        <v>12974.22</v>
      </c>
      <c r="P6" s="9">
        <v>45520</v>
      </c>
      <c r="Q6" s="9">
        <v>45535</v>
      </c>
      <c r="R6" s="9"/>
      <c r="S6" s="11" t="s">
        <v>36</v>
      </c>
      <c r="T6" s="11" t="s">
        <v>190</v>
      </c>
    </row>
    <row r="7" spans="1:20" ht="20.100000000000001" customHeight="1" x14ac:dyDescent="0.3">
      <c r="A7" s="23">
        <v>6</v>
      </c>
      <c r="B7" s="62"/>
      <c r="C7" s="62"/>
      <c r="D7" s="5" t="s">
        <v>30</v>
      </c>
      <c r="E7" s="5"/>
      <c r="F7" s="5" t="s">
        <v>30</v>
      </c>
      <c r="G7" s="5" t="s">
        <v>164</v>
      </c>
      <c r="H7" s="5" t="s">
        <v>162</v>
      </c>
      <c r="I7" s="5"/>
      <c r="J7" s="5"/>
      <c r="K7" s="5"/>
      <c r="L7" s="5"/>
      <c r="M7" s="5" t="s">
        <v>31</v>
      </c>
      <c r="N7" s="5">
        <v>14550</v>
      </c>
      <c r="O7" s="6" t="s">
        <v>15</v>
      </c>
      <c r="P7" s="7">
        <v>45518</v>
      </c>
      <c r="Q7" s="7">
        <v>45538</v>
      </c>
      <c r="R7" s="7">
        <v>45540</v>
      </c>
      <c r="S7" s="5" t="s">
        <v>27</v>
      </c>
      <c r="T7" s="5" t="s">
        <v>189</v>
      </c>
    </row>
    <row r="8" spans="1:20" ht="20.100000000000001" customHeight="1" x14ac:dyDescent="0.3">
      <c r="A8" s="23">
        <v>7</v>
      </c>
      <c r="B8" s="62"/>
      <c r="C8" s="62"/>
      <c r="D8" s="5" t="s">
        <v>32</v>
      </c>
      <c r="E8" s="5" t="s">
        <v>33</v>
      </c>
      <c r="F8" s="5" t="s">
        <v>34</v>
      </c>
      <c r="G8" s="5" t="s">
        <v>164</v>
      </c>
      <c r="H8" s="5" t="s">
        <v>162</v>
      </c>
      <c r="I8" s="5"/>
      <c r="J8" s="5"/>
      <c r="K8" s="5"/>
      <c r="L8" s="5"/>
      <c r="M8" s="5" t="s">
        <v>31</v>
      </c>
      <c r="N8" s="5">
        <v>12000</v>
      </c>
      <c r="O8" s="6">
        <v>12000</v>
      </c>
      <c r="P8" s="7">
        <v>45521</v>
      </c>
      <c r="Q8" s="7">
        <v>45524</v>
      </c>
      <c r="R8" s="7">
        <v>45523</v>
      </c>
      <c r="S8" s="5" t="s">
        <v>35</v>
      </c>
      <c r="T8" s="5" t="s">
        <v>189</v>
      </c>
    </row>
    <row r="9" spans="1:20" ht="20.100000000000001" customHeight="1" x14ac:dyDescent="0.3">
      <c r="A9" s="23">
        <v>8</v>
      </c>
      <c r="B9" s="62"/>
      <c r="C9" s="62"/>
      <c r="D9" s="5" t="s">
        <v>37</v>
      </c>
      <c r="E9" s="5" t="s">
        <v>38</v>
      </c>
      <c r="F9" s="5" t="s">
        <v>7</v>
      </c>
      <c r="G9" s="5" t="s">
        <v>148</v>
      </c>
      <c r="H9" s="5" t="s">
        <v>151</v>
      </c>
      <c r="I9" s="5"/>
      <c r="J9" s="5"/>
      <c r="K9" s="5"/>
      <c r="L9" s="5"/>
      <c r="M9" s="5" t="s">
        <v>39</v>
      </c>
      <c r="N9" s="5">
        <v>7228</v>
      </c>
      <c r="O9" s="6" t="s">
        <v>15</v>
      </c>
      <c r="P9" s="7">
        <v>45529</v>
      </c>
      <c r="Q9" s="7">
        <v>45538</v>
      </c>
      <c r="R9" s="7">
        <v>45545</v>
      </c>
      <c r="S9" s="5" t="s">
        <v>27</v>
      </c>
      <c r="T9" s="5" t="s">
        <v>189</v>
      </c>
    </row>
    <row r="10" spans="1:20" ht="20.100000000000001" customHeight="1" x14ac:dyDescent="0.3">
      <c r="A10" s="23">
        <v>9</v>
      </c>
      <c r="B10" s="62"/>
      <c r="C10" s="62"/>
      <c r="D10" s="5" t="s">
        <v>40</v>
      </c>
      <c r="E10" s="5" t="s">
        <v>41</v>
      </c>
      <c r="F10" s="5" t="s">
        <v>42</v>
      </c>
      <c r="G10" s="5" t="s">
        <v>156</v>
      </c>
      <c r="H10" s="5" t="s">
        <v>158</v>
      </c>
      <c r="I10" s="5"/>
      <c r="J10" s="5"/>
      <c r="K10" s="5"/>
      <c r="L10" s="5"/>
      <c r="M10" s="5" t="s">
        <v>43</v>
      </c>
      <c r="N10" s="5">
        <v>22000</v>
      </c>
      <c r="O10" s="6">
        <v>22000</v>
      </c>
      <c r="P10" s="7">
        <v>45523</v>
      </c>
      <c r="Q10" s="7">
        <v>45536</v>
      </c>
      <c r="R10" s="34">
        <v>45552</v>
      </c>
      <c r="S10" s="5"/>
      <c r="T10" s="5" t="s">
        <v>189</v>
      </c>
    </row>
    <row r="11" spans="1:20" ht="20.100000000000001" customHeight="1" x14ac:dyDescent="0.3">
      <c r="A11" s="35">
        <v>10</v>
      </c>
      <c r="B11" s="64"/>
      <c r="C11" s="64"/>
      <c r="D11" s="3" t="s">
        <v>40</v>
      </c>
      <c r="E11" s="3" t="s">
        <v>41</v>
      </c>
      <c r="F11" s="3" t="s">
        <v>40</v>
      </c>
      <c r="G11" s="3" t="s">
        <v>159</v>
      </c>
      <c r="H11" s="3" t="s">
        <v>157</v>
      </c>
      <c r="I11" s="3"/>
      <c r="J11" s="3"/>
      <c r="K11" s="3"/>
      <c r="L11" s="3"/>
      <c r="M11" s="3" t="s">
        <v>44</v>
      </c>
      <c r="N11" s="3">
        <v>16000</v>
      </c>
      <c r="O11" s="12">
        <v>16000</v>
      </c>
      <c r="P11" s="4"/>
      <c r="Q11" s="4"/>
      <c r="R11" s="4"/>
      <c r="S11" s="3" t="s">
        <v>107</v>
      </c>
      <c r="T11" s="3" t="s">
        <v>191</v>
      </c>
    </row>
    <row r="12" spans="1:20" ht="20.100000000000001" customHeight="1" x14ac:dyDescent="0.3">
      <c r="A12" s="23">
        <v>11</v>
      </c>
      <c r="B12" s="62"/>
      <c r="C12" s="62"/>
      <c r="D12" s="5" t="s">
        <v>40</v>
      </c>
      <c r="E12" s="5" t="s">
        <v>45</v>
      </c>
      <c r="F12" s="5" t="s">
        <v>42</v>
      </c>
      <c r="G12" s="5" t="s">
        <v>159</v>
      </c>
      <c r="H12" s="5" t="s">
        <v>157</v>
      </c>
      <c r="I12" s="5"/>
      <c r="J12" s="5"/>
      <c r="K12" s="5"/>
      <c r="L12" s="5"/>
      <c r="M12" s="5" t="s">
        <v>46</v>
      </c>
      <c r="N12" s="5">
        <v>6000</v>
      </c>
      <c r="O12" s="6">
        <v>12000</v>
      </c>
      <c r="P12" s="7">
        <v>45529</v>
      </c>
      <c r="Q12" s="7">
        <v>45550</v>
      </c>
      <c r="R12" s="34">
        <v>45552</v>
      </c>
      <c r="S12" s="5" t="s">
        <v>197</v>
      </c>
      <c r="T12" s="5" t="s">
        <v>189</v>
      </c>
    </row>
    <row r="13" spans="1:20" ht="20.100000000000001" customHeight="1" x14ac:dyDescent="0.3">
      <c r="A13" s="23">
        <v>12</v>
      </c>
      <c r="B13" s="62"/>
      <c r="C13" s="62"/>
      <c r="D13" s="5" t="s">
        <v>40</v>
      </c>
      <c r="E13" s="5" t="s">
        <v>45</v>
      </c>
      <c r="F13" s="5" t="s">
        <v>42</v>
      </c>
      <c r="G13" s="5" t="s">
        <v>159</v>
      </c>
      <c r="H13" s="5" t="s">
        <v>157</v>
      </c>
      <c r="I13" s="5"/>
      <c r="J13" s="5"/>
      <c r="K13" s="5"/>
      <c r="L13" s="5"/>
      <c r="M13" s="5" t="s">
        <v>46</v>
      </c>
      <c r="N13" s="5">
        <v>6000</v>
      </c>
      <c r="O13" s="6">
        <v>12000</v>
      </c>
      <c r="P13" s="7">
        <v>45529</v>
      </c>
      <c r="Q13" s="7">
        <v>45550</v>
      </c>
      <c r="R13" s="34">
        <v>45552</v>
      </c>
      <c r="S13" s="5" t="s">
        <v>197</v>
      </c>
      <c r="T13" s="5" t="s">
        <v>189</v>
      </c>
    </row>
    <row r="14" spans="1:20" ht="20.100000000000001" customHeight="1" x14ac:dyDescent="0.3">
      <c r="A14" s="23">
        <v>13</v>
      </c>
      <c r="B14" s="62"/>
      <c r="C14" s="62"/>
      <c r="D14" s="5" t="s">
        <v>47</v>
      </c>
      <c r="E14" s="5" t="s">
        <v>48</v>
      </c>
      <c r="F14" s="5" t="s">
        <v>7</v>
      </c>
      <c r="G14" s="5" t="s">
        <v>148</v>
      </c>
      <c r="H14" s="5" t="s">
        <v>163</v>
      </c>
      <c r="I14" s="5" t="s">
        <v>150</v>
      </c>
      <c r="J14" s="5">
        <v>80</v>
      </c>
      <c r="K14" s="5" t="s">
        <v>165</v>
      </c>
      <c r="L14" s="5"/>
      <c r="M14" s="5" t="s">
        <v>49</v>
      </c>
      <c r="N14" s="5">
        <v>10499</v>
      </c>
      <c r="O14" s="6">
        <v>8924</v>
      </c>
      <c r="P14" s="7">
        <v>45536</v>
      </c>
      <c r="Q14" s="7">
        <v>45551</v>
      </c>
      <c r="R14" s="7">
        <v>45543</v>
      </c>
      <c r="S14" s="5" t="s">
        <v>27</v>
      </c>
      <c r="T14" s="5" t="s">
        <v>189</v>
      </c>
    </row>
    <row r="15" spans="1:20" ht="20.100000000000001" customHeight="1" x14ac:dyDescent="0.25">
      <c r="A15" s="35">
        <v>14</v>
      </c>
      <c r="B15" s="54">
        <v>1404561</v>
      </c>
      <c r="C15" s="54">
        <v>1199284</v>
      </c>
      <c r="D15" s="3" t="s">
        <v>64</v>
      </c>
      <c r="E15" s="3" t="s">
        <v>38</v>
      </c>
      <c r="F15" s="3" t="s">
        <v>7</v>
      </c>
      <c r="G15" s="3" t="s">
        <v>148</v>
      </c>
      <c r="H15" s="3" t="s">
        <v>151</v>
      </c>
      <c r="I15" s="3" t="s">
        <v>150</v>
      </c>
      <c r="J15" s="3">
        <v>80</v>
      </c>
      <c r="K15" s="3" t="s">
        <v>165</v>
      </c>
      <c r="L15" s="3"/>
      <c r="M15" s="35" t="s">
        <v>65</v>
      </c>
      <c r="N15" s="3">
        <v>7295</v>
      </c>
      <c r="O15" s="12">
        <v>5895</v>
      </c>
      <c r="P15" s="4">
        <v>45540</v>
      </c>
      <c r="Q15" s="4">
        <v>45549</v>
      </c>
      <c r="R15" s="4"/>
      <c r="S15" s="3"/>
      <c r="T15" s="3" t="s">
        <v>191</v>
      </c>
    </row>
    <row r="16" spans="1:20" ht="20.100000000000001" customHeight="1" x14ac:dyDescent="0.25">
      <c r="A16" s="24">
        <v>15</v>
      </c>
      <c r="B16" s="55">
        <v>1401137</v>
      </c>
      <c r="C16" s="55">
        <v>1197500</v>
      </c>
      <c r="D16" s="11" t="s">
        <v>60</v>
      </c>
      <c r="E16" s="11" t="s">
        <v>61</v>
      </c>
      <c r="F16" s="11" t="s">
        <v>7</v>
      </c>
      <c r="G16" s="11" t="s">
        <v>155</v>
      </c>
      <c r="H16" s="11" t="s">
        <v>185</v>
      </c>
      <c r="I16" s="11"/>
      <c r="J16" s="11"/>
      <c r="K16" s="11"/>
      <c r="L16" s="11"/>
      <c r="M16" s="24" t="s">
        <v>62</v>
      </c>
      <c r="N16" s="11">
        <v>7849</v>
      </c>
      <c r="O16" s="8" t="s">
        <v>15</v>
      </c>
      <c r="P16" s="9">
        <v>45539</v>
      </c>
      <c r="Q16" s="9">
        <v>45551</v>
      </c>
      <c r="R16" s="9">
        <v>45560</v>
      </c>
      <c r="S16" s="11" t="s">
        <v>27</v>
      </c>
      <c r="T16" s="11" t="s">
        <v>206</v>
      </c>
    </row>
    <row r="17" spans="1:20" ht="20.100000000000001" customHeight="1" x14ac:dyDescent="0.3">
      <c r="A17" s="48">
        <v>16</v>
      </c>
      <c r="B17" s="61"/>
      <c r="C17" s="61"/>
      <c r="D17" s="30" t="s">
        <v>53</v>
      </c>
      <c r="E17" s="30" t="s">
        <v>54</v>
      </c>
      <c r="F17" s="30" t="s">
        <v>55</v>
      </c>
      <c r="G17" s="36" t="s">
        <v>148</v>
      </c>
      <c r="H17" s="30" t="s">
        <v>163</v>
      </c>
      <c r="I17" s="5" t="s">
        <v>153</v>
      </c>
      <c r="J17" s="5">
        <v>120</v>
      </c>
      <c r="K17" s="5" t="s">
        <v>166</v>
      </c>
      <c r="L17" s="5"/>
      <c r="M17" s="5" t="s">
        <v>56</v>
      </c>
      <c r="N17" s="5">
        <v>6180</v>
      </c>
      <c r="O17" s="31">
        <v>9700</v>
      </c>
      <c r="P17" s="34">
        <v>45538</v>
      </c>
      <c r="Q17" s="34">
        <v>45551</v>
      </c>
      <c r="R17" s="34">
        <v>45550</v>
      </c>
      <c r="S17" s="5" t="s">
        <v>197</v>
      </c>
      <c r="T17" s="30" t="s">
        <v>189</v>
      </c>
    </row>
    <row r="18" spans="1:20" ht="20.100000000000001" customHeight="1" x14ac:dyDescent="0.3">
      <c r="A18" s="23">
        <v>17</v>
      </c>
      <c r="B18" s="65"/>
      <c r="C18" s="65"/>
      <c r="D18" s="5" t="s">
        <v>53</v>
      </c>
      <c r="E18" s="5" t="s">
        <v>54</v>
      </c>
      <c r="F18" s="5" t="s">
        <v>55</v>
      </c>
      <c r="G18" s="36" t="s">
        <v>148</v>
      </c>
      <c r="H18" s="5" t="s">
        <v>163</v>
      </c>
      <c r="I18" s="5" t="s">
        <v>153</v>
      </c>
      <c r="J18" s="5">
        <v>120</v>
      </c>
      <c r="K18" s="5" t="s">
        <v>166</v>
      </c>
      <c r="L18" s="5"/>
      <c r="M18" s="5" t="s">
        <v>56</v>
      </c>
      <c r="N18" s="5">
        <v>6180</v>
      </c>
      <c r="O18" s="6">
        <v>9700</v>
      </c>
      <c r="P18" s="7">
        <v>45538</v>
      </c>
      <c r="Q18" s="7">
        <v>45551</v>
      </c>
      <c r="R18" s="34">
        <v>45550</v>
      </c>
      <c r="S18" s="5" t="s">
        <v>197</v>
      </c>
      <c r="T18" s="5" t="s">
        <v>189</v>
      </c>
    </row>
    <row r="19" spans="1:20" ht="20.100000000000001" customHeight="1" x14ac:dyDescent="0.25">
      <c r="A19" s="35">
        <v>18</v>
      </c>
      <c r="B19" s="56">
        <v>1400149</v>
      </c>
      <c r="C19" s="56">
        <v>1196947</v>
      </c>
      <c r="D19" s="3" t="s">
        <v>57</v>
      </c>
      <c r="E19" s="3" t="s">
        <v>58</v>
      </c>
      <c r="F19" s="3" t="s">
        <v>7</v>
      </c>
      <c r="G19" s="3" t="s">
        <v>148</v>
      </c>
      <c r="H19" s="3" t="s">
        <v>163</v>
      </c>
      <c r="I19" s="3" t="s">
        <v>152</v>
      </c>
      <c r="J19" s="3">
        <v>80</v>
      </c>
      <c r="K19" s="3" t="s">
        <v>165</v>
      </c>
      <c r="L19" s="3"/>
      <c r="M19" s="3" t="s">
        <v>59</v>
      </c>
      <c r="N19" s="3">
        <v>11199</v>
      </c>
      <c r="O19" s="12">
        <v>11310</v>
      </c>
      <c r="P19" s="4">
        <v>45539</v>
      </c>
      <c r="Q19" s="4">
        <v>45553</v>
      </c>
      <c r="R19" s="4"/>
      <c r="S19" s="3"/>
      <c r="T19" s="3" t="s">
        <v>191</v>
      </c>
    </row>
    <row r="20" spans="1:20" ht="20.100000000000001" customHeight="1" x14ac:dyDescent="0.25">
      <c r="A20" s="23">
        <v>19</v>
      </c>
      <c r="B20" s="57">
        <v>1408099</v>
      </c>
      <c r="C20" s="57">
        <v>1201057</v>
      </c>
      <c r="D20" s="5" t="s">
        <v>32</v>
      </c>
      <c r="E20" s="5" t="s">
        <v>66</v>
      </c>
      <c r="F20" s="5" t="s">
        <v>7</v>
      </c>
      <c r="G20" s="5" t="s">
        <v>148</v>
      </c>
      <c r="H20" s="5" t="s">
        <v>151</v>
      </c>
      <c r="I20" s="5" t="s">
        <v>175</v>
      </c>
      <c r="J20" s="5">
        <v>80</v>
      </c>
      <c r="K20" s="5" t="s">
        <v>165</v>
      </c>
      <c r="L20" s="5"/>
      <c r="M20" s="23" t="s">
        <v>67</v>
      </c>
      <c r="N20" s="5">
        <v>7987</v>
      </c>
      <c r="O20" s="6" t="s">
        <v>15</v>
      </c>
      <c r="P20" s="7">
        <v>45541</v>
      </c>
      <c r="Q20" s="7">
        <v>45551</v>
      </c>
      <c r="R20" s="7">
        <v>45556</v>
      </c>
      <c r="S20" s="5" t="s">
        <v>197</v>
      </c>
      <c r="T20" s="5" t="s">
        <v>196</v>
      </c>
    </row>
    <row r="21" spans="1:20" ht="20.100000000000001" customHeight="1" x14ac:dyDescent="0.3">
      <c r="A21" s="48">
        <v>20</v>
      </c>
      <c r="B21" s="61"/>
      <c r="C21" s="61"/>
      <c r="D21" s="30" t="s">
        <v>42</v>
      </c>
      <c r="E21" s="30" t="s">
        <v>41</v>
      </c>
      <c r="F21" s="30" t="s">
        <v>42</v>
      </c>
      <c r="G21" s="30" t="s">
        <v>160</v>
      </c>
      <c r="H21" s="30" t="s">
        <v>161</v>
      </c>
      <c r="I21" s="30"/>
      <c r="J21" s="30"/>
      <c r="K21" s="30"/>
      <c r="L21" s="30"/>
      <c r="M21" s="5" t="s">
        <v>63</v>
      </c>
      <c r="N21" s="30">
        <v>9300</v>
      </c>
      <c r="O21" s="31">
        <v>9300</v>
      </c>
      <c r="P21" s="34">
        <v>45539</v>
      </c>
      <c r="Q21" s="34">
        <v>45550</v>
      </c>
      <c r="R21" s="34">
        <v>45552</v>
      </c>
      <c r="S21" s="5" t="s">
        <v>197</v>
      </c>
      <c r="T21" s="30" t="s">
        <v>189</v>
      </c>
    </row>
    <row r="22" spans="1:20" ht="20.100000000000001" customHeight="1" x14ac:dyDescent="0.25">
      <c r="A22" s="23">
        <v>21</v>
      </c>
      <c r="B22" s="57">
        <v>1408098</v>
      </c>
      <c r="C22" s="57">
        <v>1201057</v>
      </c>
      <c r="D22" s="5" t="s">
        <v>32</v>
      </c>
      <c r="E22" s="5" t="s">
        <v>66</v>
      </c>
      <c r="F22" s="5" t="s">
        <v>7</v>
      </c>
      <c r="G22" s="5" t="s">
        <v>148</v>
      </c>
      <c r="H22" s="5" t="s">
        <v>151</v>
      </c>
      <c r="I22" s="5" t="s">
        <v>175</v>
      </c>
      <c r="J22" s="5">
        <v>80</v>
      </c>
      <c r="K22" s="5" t="s">
        <v>165</v>
      </c>
      <c r="L22" s="5"/>
      <c r="M22" s="23" t="s">
        <v>67</v>
      </c>
      <c r="N22" s="5">
        <v>7987</v>
      </c>
      <c r="O22" s="6" t="s">
        <v>15</v>
      </c>
      <c r="P22" s="7">
        <v>45541</v>
      </c>
      <c r="Q22" s="7">
        <v>45551</v>
      </c>
      <c r="R22" s="7">
        <v>45556</v>
      </c>
      <c r="S22" s="5" t="s">
        <v>197</v>
      </c>
      <c r="T22" s="5" t="s">
        <v>196</v>
      </c>
    </row>
    <row r="23" spans="1:20" ht="20.100000000000001" customHeight="1" x14ac:dyDescent="0.25">
      <c r="A23" s="23">
        <v>22</v>
      </c>
      <c r="B23" s="57">
        <v>1408100</v>
      </c>
      <c r="C23" s="57">
        <v>1201057</v>
      </c>
      <c r="D23" s="5" t="s">
        <v>32</v>
      </c>
      <c r="E23" s="5" t="s">
        <v>66</v>
      </c>
      <c r="F23" s="5" t="s">
        <v>7</v>
      </c>
      <c r="G23" s="5" t="s">
        <v>148</v>
      </c>
      <c r="H23" s="5" t="s">
        <v>151</v>
      </c>
      <c r="I23" s="5" t="s">
        <v>175</v>
      </c>
      <c r="J23" s="5">
        <v>80</v>
      </c>
      <c r="K23" s="5" t="s">
        <v>165</v>
      </c>
      <c r="L23" s="5"/>
      <c r="M23" s="23" t="s">
        <v>67</v>
      </c>
      <c r="N23" s="5">
        <v>7987</v>
      </c>
      <c r="O23" s="6" t="s">
        <v>15</v>
      </c>
      <c r="P23" s="7">
        <v>45541</v>
      </c>
      <c r="Q23" s="7">
        <v>45551</v>
      </c>
      <c r="R23" s="7">
        <v>45556</v>
      </c>
      <c r="S23" s="5" t="s">
        <v>197</v>
      </c>
      <c r="T23" s="5" t="s">
        <v>196</v>
      </c>
    </row>
    <row r="24" spans="1:20" ht="20.100000000000001" customHeight="1" x14ac:dyDescent="0.25">
      <c r="A24" s="23">
        <v>23</v>
      </c>
      <c r="B24" s="57">
        <v>1408101</v>
      </c>
      <c r="C24" s="57">
        <v>1201057</v>
      </c>
      <c r="D24" s="5" t="s">
        <v>32</v>
      </c>
      <c r="E24" s="5" t="s">
        <v>66</v>
      </c>
      <c r="F24" s="5" t="s">
        <v>7</v>
      </c>
      <c r="G24" s="5" t="s">
        <v>148</v>
      </c>
      <c r="H24" s="5" t="s">
        <v>151</v>
      </c>
      <c r="I24" s="5" t="s">
        <v>175</v>
      </c>
      <c r="J24" s="5">
        <v>80</v>
      </c>
      <c r="K24" s="5" t="s">
        <v>165</v>
      </c>
      <c r="L24" s="5"/>
      <c r="M24" s="23" t="s">
        <v>67</v>
      </c>
      <c r="N24" s="5">
        <v>7987</v>
      </c>
      <c r="O24" s="6" t="s">
        <v>15</v>
      </c>
      <c r="P24" s="7">
        <v>45541</v>
      </c>
      <c r="Q24" s="7">
        <v>45551</v>
      </c>
      <c r="R24" s="7">
        <v>45556</v>
      </c>
      <c r="S24" s="5" t="s">
        <v>197</v>
      </c>
      <c r="T24" s="5" t="s">
        <v>196</v>
      </c>
    </row>
    <row r="25" spans="1:20" ht="20.100000000000001" customHeight="1" x14ac:dyDescent="0.25">
      <c r="A25" s="35">
        <v>24</v>
      </c>
      <c r="B25" s="54">
        <v>1513856</v>
      </c>
      <c r="C25" s="54">
        <v>1231946</v>
      </c>
      <c r="D25" s="3" t="s">
        <v>104</v>
      </c>
      <c r="E25" s="3" t="s">
        <v>105</v>
      </c>
      <c r="F25" s="3" t="s">
        <v>7</v>
      </c>
      <c r="G25" s="3" t="s">
        <v>155</v>
      </c>
      <c r="H25" s="3" t="s">
        <v>185</v>
      </c>
      <c r="I25" s="3"/>
      <c r="J25" s="3"/>
      <c r="K25" s="3"/>
      <c r="L25" s="3"/>
      <c r="M25" s="35" t="s">
        <v>62</v>
      </c>
      <c r="N25" s="3">
        <v>8849</v>
      </c>
      <c r="O25" s="12" t="s">
        <v>15</v>
      </c>
      <c r="P25" s="4">
        <v>45538</v>
      </c>
      <c r="Q25" s="4">
        <v>45581</v>
      </c>
      <c r="R25" s="4"/>
      <c r="S25" s="3"/>
      <c r="T25" s="3" t="s">
        <v>191</v>
      </c>
    </row>
    <row r="26" spans="1:20" ht="20.100000000000001" customHeight="1" x14ac:dyDescent="0.25">
      <c r="A26" s="23">
        <v>25</v>
      </c>
      <c r="B26" s="57">
        <v>1411691</v>
      </c>
      <c r="C26" s="57">
        <v>1202775</v>
      </c>
      <c r="D26" s="5" t="s">
        <v>68</v>
      </c>
      <c r="E26" s="5" t="s">
        <v>38</v>
      </c>
      <c r="F26" s="5" t="s">
        <v>7</v>
      </c>
      <c r="G26" s="5" t="s">
        <v>148</v>
      </c>
      <c r="H26" s="5" t="s">
        <v>151</v>
      </c>
      <c r="I26" s="5" t="s">
        <v>154</v>
      </c>
      <c r="J26" s="5">
        <v>120</v>
      </c>
      <c r="K26" s="5" t="s">
        <v>165</v>
      </c>
      <c r="L26" s="5"/>
      <c r="M26" s="23" t="s">
        <v>69</v>
      </c>
      <c r="N26" s="5">
        <v>10987</v>
      </c>
      <c r="O26" s="6" t="s">
        <v>15</v>
      </c>
      <c r="P26" s="7">
        <v>45544</v>
      </c>
      <c r="Q26" s="7">
        <v>45552</v>
      </c>
      <c r="R26" s="7">
        <v>45556</v>
      </c>
      <c r="S26" s="5" t="s">
        <v>197</v>
      </c>
      <c r="T26" s="5" t="s">
        <v>189</v>
      </c>
    </row>
    <row r="27" spans="1:20" ht="20.100000000000001" customHeight="1" x14ac:dyDescent="0.3">
      <c r="A27" s="23">
        <v>26</v>
      </c>
      <c r="B27" s="62"/>
      <c r="C27" s="62"/>
      <c r="D27" s="5" t="s">
        <v>30</v>
      </c>
      <c r="E27" s="5"/>
      <c r="F27" s="5" t="s">
        <v>30</v>
      </c>
      <c r="G27" s="5" t="s">
        <v>148</v>
      </c>
      <c r="H27" s="5" t="s">
        <v>163</v>
      </c>
      <c r="I27" s="5" t="s">
        <v>152</v>
      </c>
      <c r="J27" s="5">
        <v>100</v>
      </c>
      <c r="K27" s="5" t="s">
        <v>165</v>
      </c>
      <c r="L27" s="5"/>
      <c r="M27" s="23" t="s">
        <v>50</v>
      </c>
      <c r="N27" s="5">
        <v>9208</v>
      </c>
      <c r="O27" s="6">
        <v>5781.75</v>
      </c>
      <c r="P27" s="7">
        <v>45536</v>
      </c>
      <c r="Q27" s="7">
        <v>45554</v>
      </c>
      <c r="R27" s="7">
        <v>45556</v>
      </c>
      <c r="S27" s="5" t="s">
        <v>197</v>
      </c>
      <c r="T27" s="5" t="s">
        <v>196</v>
      </c>
    </row>
    <row r="28" spans="1:20" ht="20.100000000000001" customHeight="1" x14ac:dyDescent="0.3">
      <c r="A28" s="23">
        <v>27</v>
      </c>
      <c r="B28" s="62"/>
      <c r="C28" s="62"/>
      <c r="D28" s="5" t="s">
        <v>30</v>
      </c>
      <c r="E28" s="5"/>
      <c r="F28" s="5" t="s">
        <v>51</v>
      </c>
      <c r="G28" s="5" t="s">
        <v>148</v>
      </c>
      <c r="H28" s="5" t="s">
        <v>163</v>
      </c>
      <c r="I28" s="5" t="s">
        <v>152</v>
      </c>
      <c r="J28" s="5">
        <v>100</v>
      </c>
      <c r="K28" s="5" t="s">
        <v>166</v>
      </c>
      <c r="L28" s="5"/>
      <c r="M28" s="23" t="s">
        <v>52</v>
      </c>
      <c r="N28" s="5">
        <v>9208</v>
      </c>
      <c r="O28" s="6">
        <v>1278.53</v>
      </c>
      <c r="P28" s="7">
        <v>45536</v>
      </c>
      <c r="Q28" s="7">
        <v>45554</v>
      </c>
      <c r="R28" s="7">
        <v>45556</v>
      </c>
      <c r="S28" s="5" t="s">
        <v>197</v>
      </c>
      <c r="T28" s="5" t="s">
        <v>196</v>
      </c>
    </row>
    <row r="29" spans="1:20" ht="20.100000000000001" customHeight="1" x14ac:dyDescent="0.3">
      <c r="A29" s="23">
        <v>28</v>
      </c>
      <c r="B29" s="62"/>
      <c r="C29" s="62"/>
      <c r="D29" s="5" t="s">
        <v>81</v>
      </c>
      <c r="E29" s="5" t="s">
        <v>82</v>
      </c>
      <c r="F29" s="5" t="s">
        <v>55</v>
      </c>
      <c r="G29" s="5" t="s">
        <v>148</v>
      </c>
      <c r="H29" s="5" t="s">
        <v>151</v>
      </c>
      <c r="I29" s="5" t="s">
        <v>175</v>
      </c>
      <c r="J29" s="5">
        <v>120</v>
      </c>
      <c r="K29" s="5" t="s">
        <v>165</v>
      </c>
      <c r="L29" s="5"/>
      <c r="M29" s="37" t="s">
        <v>85</v>
      </c>
      <c r="N29" s="5">
        <v>4020</v>
      </c>
      <c r="O29" s="6" t="s">
        <v>83</v>
      </c>
      <c r="P29" s="7">
        <v>45547</v>
      </c>
      <c r="Q29" s="7">
        <v>45556</v>
      </c>
      <c r="R29" s="7">
        <v>45557</v>
      </c>
      <c r="S29" s="5" t="s">
        <v>197</v>
      </c>
      <c r="T29" s="5" t="s">
        <v>189</v>
      </c>
    </row>
    <row r="30" spans="1:20" ht="20.100000000000001" customHeight="1" x14ac:dyDescent="0.3">
      <c r="A30" s="23">
        <v>29</v>
      </c>
      <c r="B30" s="62"/>
      <c r="C30" s="62"/>
      <c r="D30" s="5" t="s">
        <v>81</v>
      </c>
      <c r="E30" s="5" t="s">
        <v>82</v>
      </c>
      <c r="F30" s="5" t="s">
        <v>55</v>
      </c>
      <c r="G30" s="5" t="s">
        <v>148</v>
      </c>
      <c r="H30" s="5" t="s">
        <v>151</v>
      </c>
      <c r="I30" s="5" t="s">
        <v>175</v>
      </c>
      <c r="J30" s="5">
        <v>120</v>
      </c>
      <c r="K30" s="5" t="s">
        <v>165</v>
      </c>
      <c r="L30" s="5"/>
      <c r="M30" s="37" t="s">
        <v>85</v>
      </c>
      <c r="N30" s="5">
        <v>4020</v>
      </c>
      <c r="O30" s="6" t="s">
        <v>83</v>
      </c>
      <c r="P30" s="7">
        <v>45547</v>
      </c>
      <c r="Q30" s="7">
        <v>45556</v>
      </c>
      <c r="R30" s="7">
        <v>45557</v>
      </c>
      <c r="S30" s="5" t="s">
        <v>197</v>
      </c>
      <c r="T30" s="5" t="s">
        <v>189</v>
      </c>
    </row>
    <row r="31" spans="1:20" ht="20.100000000000001" customHeight="1" x14ac:dyDescent="0.3">
      <c r="A31" s="23">
        <v>30</v>
      </c>
      <c r="B31" s="62"/>
      <c r="C31" s="62"/>
      <c r="D31" s="5" t="s">
        <v>81</v>
      </c>
      <c r="E31" s="5" t="s">
        <v>82</v>
      </c>
      <c r="F31" s="5" t="s">
        <v>55</v>
      </c>
      <c r="G31" s="5" t="s">
        <v>148</v>
      </c>
      <c r="H31" s="5" t="s">
        <v>151</v>
      </c>
      <c r="I31" s="5" t="s">
        <v>167</v>
      </c>
      <c r="J31" s="5">
        <v>120</v>
      </c>
      <c r="K31" s="5" t="s">
        <v>166</v>
      </c>
      <c r="L31" s="5"/>
      <c r="M31" s="37" t="s">
        <v>84</v>
      </c>
      <c r="N31" s="5">
        <v>4020</v>
      </c>
      <c r="O31" s="6" t="s">
        <v>113</v>
      </c>
      <c r="P31" s="7">
        <v>45547</v>
      </c>
      <c r="Q31" s="7">
        <v>45556</v>
      </c>
      <c r="R31" s="7">
        <v>45557</v>
      </c>
      <c r="S31" s="5" t="s">
        <v>197</v>
      </c>
      <c r="T31" s="5" t="s">
        <v>189</v>
      </c>
    </row>
    <row r="32" spans="1:20" ht="20.100000000000001" customHeight="1" x14ac:dyDescent="0.3">
      <c r="A32" s="23">
        <v>31</v>
      </c>
      <c r="B32" s="62"/>
      <c r="C32" s="62"/>
      <c r="D32" s="5" t="s">
        <v>81</v>
      </c>
      <c r="E32" s="5" t="s">
        <v>82</v>
      </c>
      <c r="F32" s="5" t="s">
        <v>55</v>
      </c>
      <c r="G32" s="5" t="s">
        <v>148</v>
      </c>
      <c r="H32" s="5" t="s">
        <v>151</v>
      </c>
      <c r="I32" s="5" t="s">
        <v>167</v>
      </c>
      <c r="J32" s="5">
        <v>120</v>
      </c>
      <c r="K32" s="5" t="s">
        <v>166</v>
      </c>
      <c r="L32" s="5"/>
      <c r="M32" s="37" t="s">
        <v>84</v>
      </c>
      <c r="N32" s="5">
        <v>4020</v>
      </c>
      <c r="O32" s="6" t="s">
        <v>113</v>
      </c>
      <c r="P32" s="7">
        <v>45547</v>
      </c>
      <c r="Q32" s="7">
        <v>45556</v>
      </c>
      <c r="R32" s="7">
        <v>45557</v>
      </c>
      <c r="S32" s="5" t="s">
        <v>197</v>
      </c>
      <c r="T32" s="5" t="s">
        <v>189</v>
      </c>
    </row>
    <row r="33" spans="1:20" ht="20.100000000000001" customHeight="1" x14ac:dyDescent="0.25">
      <c r="A33" s="24">
        <v>32</v>
      </c>
      <c r="B33" s="55">
        <v>1509211</v>
      </c>
      <c r="C33" s="55">
        <v>1230837</v>
      </c>
      <c r="D33" s="11" t="s">
        <v>141</v>
      </c>
      <c r="E33" s="11" t="s">
        <v>142</v>
      </c>
      <c r="F33" s="11" t="s">
        <v>7</v>
      </c>
      <c r="G33" s="11" t="s">
        <v>148</v>
      </c>
      <c r="H33" s="11" t="s">
        <v>149</v>
      </c>
      <c r="I33" s="11"/>
      <c r="J33" s="11"/>
      <c r="K33" s="11" t="s">
        <v>166</v>
      </c>
      <c r="L33" s="11" t="s">
        <v>166</v>
      </c>
      <c r="M33" s="24" t="s">
        <v>143</v>
      </c>
      <c r="N33" s="11">
        <v>9399</v>
      </c>
      <c r="O33" s="6" t="s">
        <v>113</v>
      </c>
      <c r="P33" s="11" t="s">
        <v>144</v>
      </c>
      <c r="Q33" s="9">
        <v>45557</v>
      </c>
      <c r="R33" s="11" t="s">
        <v>190</v>
      </c>
      <c r="S33" s="11" t="s">
        <v>36</v>
      </c>
      <c r="T33" s="11" t="s">
        <v>190</v>
      </c>
    </row>
    <row r="34" spans="1:20" ht="20.100000000000001" customHeight="1" x14ac:dyDescent="0.25">
      <c r="A34" s="23">
        <v>33</v>
      </c>
      <c r="B34" s="57">
        <v>1536687</v>
      </c>
      <c r="C34" s="57">
        <v>1237682</v>
      </c>
      <c r="D34" s="5" t="s">
        <v>145</v>
      </c>
      <c r="E34" s="5" t="s">
        <v>146</v>
      </c>
      <c r="F34" s="5" t="s">
        <v>7</v>
      </c>
      <c r="G34" s="5" t="s">
        <v>155</v>
      </c>
      <c r="H34" s="5" t="s">
        <v>187</v>
      </c>
      <c r="I34" s="5"/>
      <c r="J34" s="5"/>
      <c r="K34" s="5"/>
      <c r="L34" s="5"/>
      <c r="M34" s="23" t="s">
        <v>147</v>
      </c>
      <c r="N34" s="5">
        <v>8349</v>
      </c>
      <c r="O34" s="6" t="s">
        <v>113</v>
      </c>
      <c r="P34" s="7">
        <v>45549</v>
      </c>
      <c r="Q34" s="7">
        <v>45557</v>
      </c>
      <c r="R34" s="7">
        <v>45559</v>
      </c>
      <c r="S34" s="5" t="s">
        <v>27</v>
      </c>
      <c r="T34" s="5" t="s">
        <v>189</v>
      </c>
    </row>
    <row r="35" spans="1:20" ht="20.100000000000001" customHeight="1" x14ac:dyDescent="0.25">
      <c r="A35" s="23">
        <v>34</v>
      </c>
      <c r="B35" s="57">
        <v>1520537</v>
      </c>
      <c r="C35" s="57">
        <v>1233624</v>
      </c>
      <c r="D35" s="5" t="s">
        <v>102</v>
      </c>
      <c r="E35" s="5" t="s">
        <v>38</v>
      </c>
      <c r="F35" s="5" t="s">
        <v>7</v>
      </c>
      <c r="G35" s="5" t="s">
        <v>148</v>
      </c>
      <c r="H35" s="5" t="s">
        <v>149</v>
      </c>
      <c r="I35" s="5"/>
      <c r="J35" s="5"/>
      <c r="K35" s="5" t="s">
        <v>166</v>
      </c>
      <c r="L35" s="5" t="s">
        <v>166</v>
      </c>
      <c r="M35" s="23" t="s">
        <v>103</v>
      </c>
      <c r="N35" s="5">
        <v>9399</v>
      </c>
      <c r="O35" s="6" t="s">
        <v>15</v>
      </c>
      <c r="P35" s="7">
        <v>45548</v>
      </c>
      <c r="Q35" s="7">
        <v>45559</v>
      </c>
      <c r="R35" s="7" t="s">
        <v>207</v>
      </c>
      <c r="S35" s="5" t="s">
        <v>27</v>
      </c>
      <c r="T35" s="5" t="s">
        <v>196</v>
      </c>
    </row>
    <row r="36" spans="1:20" ht="20.100000000000001" customHeight="1" x14ac:dyDescent="0.25">
      <c r="A36" s="23">
        <v>35</v>
      </c>
      <c r="B36" s="57">
        <v>1422998</v>
      </c>
      <c r="C36" s="57">
        <v>1207350</v>
      </c>
      <c r="D36" s="5" t="s">
        <v>70</v>
      </c>
      <c r="E36" s="5" t="s">
        <v>71</v>
      </c>
      <c r="F36" s="5" t="s">
        <v>7</v>
      </c>
      <c r="G36" s="5" t="s">
        <v>155</v>
      </c>
      <c r="H36" s="5" t="s">
        <v>185</v>
      </c>
      <c r="I36" s="5"/>
      <c r="J36" s="5"/>
      <c r="K36" s="5"/>
      <c r="L36" s="5"/>
      <c r="M36" s="23" t="s">
        <v>62</v>
      </c>
      <c r="N36" s="5">
        <v>7849</v>
      </c>
      <c r="O36" s="6">
        <v>7928</v>
      </c>
      <c r="P36" s="7">
        <v>45547</v>
      </c>
      <c r="Q36" s="7">
        <v>45561</v>
      </c>
      <c r="R36" s="5" t="s">
        <v>27</v>
      </c>
      <c r="S36" s="5" t="s">
        <v>27</v>
      </c>
      <c r="T36" s="5" t="s">
        <v>192</v>
      </c>
    </row>
    <row r="37" spans="1:20" ht="20.100000000000001" customHeight="1" x14ac:dyDescent="0.3">
      <c r="A37" s="24">
        <v>36</v>
      </c>
      <c r="B37" s="63"/>
      <c r="C37" s="63"/>
      <c r="D37" s="11" t="s">
        <v>78</v>
      </c>
      <c r="E37" s="11" t="s">
        <v>79</v>
      </c>
      <c r="F37" s="11" t="s">
        <v>34</v>
      </c>
      <c r="G37" s="11" t="s">
        <v>148</v>
      </c>
      <c r="H37" s="11" t="s">
        <v>169</v>
      </c>
      <c r="I37" s="11" t="s">
        <v>153</v>
      </c>
      <c r="J37" s="11">
        <v>100</v>
      </c>
      <c r="K37" s="11" t="s">
        <v>166</v>
      </c>
      <c r="L37" s="11"/>
      <c r="M37" s="24" t="s">
        <v>80</v>
      </c>
      <c r="N37" s="11">
        <v>9450</v>
      </c>
      <c r="O37" s="8">
        <v>9450</v>
      </c>
      <c r="P37" s="9">
        <v>45547</v>
      </c>
      <c r="Q37" s="9">
        <v>45561</v>
      </c>
      <c r="R37" s="9"/>
      <c r="S37" s="11"/>
      <c r="T37" s="11" t="s">
        <v>234</v>
      </c>
    </row>
    <row r="38" spans="1:20" ht="20.100000000000001" customHeight="1" x14ac:dyDescent="0.25">
      <c r="A38" s="23">
        <v>37</v>
      </c>
      <c r="B38" s="57">
        <v>1459790</v>
      </c>
      <c r="C38" s="57">
        <v>1218257</v>
      </c>
      <c r="D38" s="5" t="s">
        <v>93</v>
      </c>
      <c r="E38" s="5" t="s">
        <v>66</v>
      </c>
      <c r="F38" s="5" t="s">
        <v>7</v>
      </c>
      <c r="G38" s="5" t="s">
        <v>148</v>
      </c>
      <c r="H38" s="5" t="s">
        <v>151</v>
      </c>
      <c r="I38" s="5" t="s">
        <v>154</v>
      </c>
      <c r="J38" s="5">
        <v>120</v>
      </c>
      <c r="K38" s="5" t="s">
        <v>166</v>
      </c>
      <c r="L38" s="5"/>
      <c r="M38" s="23" t="s">
        <v>94</v>
      </c>
      <c r="N38" s="5">
        <v>7460</v>
      </c>
      <c r="O38" s="6" t="s">
        <v>15</v>
      </c>
      <c r="P38" s="7">
        <v>45548</v>
      </c>
      <c r="Q38" s="7">
        <v>45561</v>
      </c>
      <c r="R38" s="7">
        <v>45568</v>
      </c>
      <c r="S38" s="5" t="s">
        <v>197</v>
      </c>
      <c r="T38" s="5" t="s">
        <v>196</v>
      </c>
    </row>
    <row r="39" spans="1:20" ht="20.100000000000001" customHeight="1" x14ac:dyDescent="0.25">
      <c r="A39" s="23">
        <v>38</v>
      </c>
      <c r="B39" s="57">
        <v>1455486</v>
      </c>
      <c r="C39" s="57">
        <v>1217163</v>
      </c>
      <c r="D39" s="5" t="s">
        <v>97</v>
      </c>
      <c r="E39" s="5" t="s">
        <v>66</v>
      </c>
      <c r="F39" s="5" t="s">
        <v>7</v>
      </c>
      <c r="G39" s="5" t="s">
        <v>148</v>
      </c>
      <c r="H39" s="5" t="s">
        <v>151</v>
      </c>
      <c r="I39" s="5" t="s">
        <v>176</v>
      </c>
      <c r="J39" s="5">
        <v>140</v>
      </c>
      <c r="K39" s="5" t="s">
        <v>174</v>
      </c>
      <c r="L39" s="5" t="s">
        <v>170</v>
      </c>
      <c r="M39" s="23" t="s">
        <v>98</v>
      </c>
      <c r="N39" s="5">
        <v>9528</v>
      </c>
      <c r="O39" s="6" t="s">
        <v>15</v>
      </c>
      <c r="P39" s="7">
        <v>45548</v>
      </c>
      <c r="Q39" s="7">
        <v>45561</v>
      </c>
      <c r="R39" s="7">
        <v>45568</v>
      </c>
      <c r="S39" s="5" t="s">
        <v>197</v>
      </c>
      <c r="T39" s="5" t="s">
        <v>196</v>
      </c>
    </row>
    <row r="40" spans="1:20" ht="20.100000000000001" customHeight="1" x14ac:dyDescent="0.25">
      <c r="A40" s="23">
        <v>39</v>
      </c>
      <c r="B40" s="57">
        <v>1504407</v>
      </c>
      <c r="C40" s="57">
        <v>1229760</v>
      </c>
      <c r="D40" s="5" t="s">
        <v>139</v>
      </c>
      <c r="E40" s="5" t="s">
        <v>38</v>
      </c>
      <c r="F40" s="5" t="s">
        <v>7</v>
      </c>
      <c r="G40" s="5" t="s">
        <v>148</v>
      </c>
      <c r="H40" s="5" t="s">
        <v>163</v>
      </c>
      <c r="I40" s="5" t="s">
        <v>153</v>
      </c>
      <c r="J40" s="5">
        <v>120</v>
      </c>
      <c r="K40" s="5" t="s">
        <v>170</v>
      </c>
      <c r="L40" s="5"/>
      <c r="M40" s="23" t="s">
        <v>140</v>
      </c>
      <c r="N40" s="5">
        <v>12999</v>
      </c>
      <c r="O40" s="6" t="s">
        <v>15</v>
      </c>
      <c r="P40" s="7">
        <v>45549</v>
      </c>
      <c r="Q40" s="7">
        <v>45562</v>
      </c>
      <c r="R40" s="7">
        <v>45567</v>
      </c>
      <c r="S40" s="5" t="s">
        <v>197</v>
      </c>
      <c r="T40" s="5" t="s">
        <v>196</v>
      </c>
    </row>
    <row r="41" spans="1:20" ht="20.100000000000001" customHeight="1" x14ac:dyDescent="0.25">
      <c r="A41" s="35">
        <v>40</v>
      </c>
      <c r="B41" s="54">
        <v>1423361</v>
      </c>
      <c r="C41" s="54">
        <v>1207484</v>
      </c>
      <c r="D41" s="3" t="s">
        <v>72</v>
      </c>
      <c r="E41" s="3" t="s">
        <v>73</v>
      </c>
      <c r="F41" s="3" t="s">
        <v>7</v>
      </c>
      <c r="G41" s="3" t="s">
        <v>148</v>
      </c>
      <c r="H41" s="3" t="s">
        <v>163</v>
      </c>
      <c r="I41" s="3" t="s">
        <v>150</v>
      </c>
      <c r="J41" s="3">
        <v>90</v>
      </c>
      <c r="K41" s="3" t="s">
        <v>166</v>
      </c>
      <c r="L41" s="3"/>
      <c r="M41" s="35" t="s">
        <v>76</v>
      </c>
      <c r="N41" s="3">
        <v>5999</v>
      </c>
      <c r="O41" s="12" t="s">
        <v>15</v>
      </c>
      <c r="P41" s="4">
        <v>45547</v>
      </c>
      <c r="Q41" s="4">
        <v>45564</v>
      </c>
      <c r="R41" s="4"/>
      <c r="S41" s="3"/>
      <c r="T41" s="3"/>
    </row>
    <row r="42" spans="1:20" ht="20.100000000000001" customHeight="1" x14ac:dyDescent="0.25">
      <c r="A42" s="23">
        <v>41</v>
      </c>
      <c r="B42" s="57">
        <v>1415725</v>
      </c>
      <c r="C42" s="57">
        <v>1204732</v>
      </c>
      <c r="D42" s="5" t="s">
        <v>74</v>
      </c>
      <c r="E42" s="5" t="s">
        <v>75</v>
      </c>
      <c r="F42" s="5" t="s">
        <v>7</v>
      </c>
      <c r="G42" s="5" t="s">
        <v>148</v>
      </c>
      <c r="H42" s="5" t="s">
        <v>163</v>
      </c>
      <c r="I42" s="5" t="s">
        <v>153</v>
      </c>
      <c r="J42" s="5">
        <v>100</v>
      </c>
      <c r="K42" s="5" t="s">
        <v>166</v>
      </c>
      <c r="L42" s="5"/>
      <c r="M42" s="23" t="s">
        <v>77</v>
      </c>
      <c r="N42" s="5">
        <v>11949</v>
      </c>
      <c r="O42" s="6">
        <v>10749</v>
      </c>
      <c r="P42" s="7">
        <v>45547</v>
      </c>
      <c r="Q42" s="7">
        <v>45564</v>
      </c>
      <c r="R42" s="7">
        <v>45567</v>
      </c>
      <c r="S42" s="5" t="s">
        <v>197</v>
      </c>
      <c r="T42" s="5" t="s">
        <v>196</v>
      </c>
    </row>
    <row r="43" spans="1:20" ht="20.100000000000001" customHeight="1" x14ac:dyDescent="0.25">
      <c r="A43" s="23">
        <v>42</v>
      </c>
      <c r="B43" s="57">
        <v>1415726</v>
      </c>
      <c r="C43" s="57">
        <v>1204732</v>
      </c>
      <c r="D43" s="5" t="s">
        <v>74</v>
      </c>
      <c r="E43" s="5" t="s">
        <v>75</v>
      </c>
      <c r="F43" s="5" t="s">
        <v>7</v>
      </c>
      <c r="G43" s="5" t="s">
        <v>148</v>
      </c>
      <c r="H43" s="5" t="s">
        <v>163</v>
      </c>
      <c r="I43" s="5" t="s">
        <v>153</v>
      </c>
      <c r="J43" s="5">
        <v>100</v>
      </c>
      <c r="K43" s="5" t="s">
        <v>166</v>
      </c>
      <c r="L43" s="5"/>
      <c r="M43" s="23" t="s">
        <v>77</v>
      </c>
      <c r="N43" s="5">
        <v>11949</v>
      </c>
      <c r="O43" s="6">
        <v>10749</v>
      </c>
      <c r="P43" s="7">
        <v>45547</v>
      </c>
      <c r="Q43" s="7">
        <v>45564</v>
      </c>
      <c r="R43" s="7">
        <v>45567</v>
      </c>
      <c r="S43" s="5" t="s">
        <v>197</v>
      </c>
      <c r="T43" s="5" t="s">
        <v>196</v>
      </c>
    </row>
    <row r="44" spans="1:20" ht="20.100000000000001" customHeight="1" x14ac:dyDescent="0.25">
      <c r="A44" s="23">
        <v>43</v>
      </c>
      <c r="B44" s="57">
        <v>1499397</v>
      </c>
      <c r="C44" s="57">
        <v>1228586</v>
      </c>
      <c r="D44" s="5" t="s">
        <v>32</v>
      </c>
      <c r="E44" s="5" t="s">
        <v>86</v>
      </c>
      <c r="F44" s="5" t="s">
        <v>7</v>
      </c>
      <c r="G44" s="5" t="s">
        <v>148</v>
      </c>
      <c r="H44" s="5" t="s">
        <v>169</v>
      </c>
      <c r="I44" s="5" t="s">
        <v>153</v>
      </c>
      <c r="J44" s="5">
        <v>80</v>
      </c>
      <c r="K44" s="5" t="s">
        <v>165</v>
      </c>
      <c r="L44" s="5"/>
      <c r="M44" s="23" t="s">
        <v>89</v>
      </c>
      <c r="N44" s="5">
        <v>16599</v>
      </c>
      <c r="O44" s="6" t="s">
        <v>15</v>
      </c>
      <c r="P44" s="7">
        <v>45548</v>
      </c>
      <c r="Q44" s="7">
        <v>45565</v>
      </c>
      <c r="R44" s="7">
        <v>45568</v>
      </c>
      <c r="S44" s="5" t="s">
        <v>197</v>
      </c>
      <c r="T44" s="5" t="s">
        <v>196</v>
      </c>
    </row>
    <row r="45" spans="1:20" ht="20.100000000000001" customHeight="1" x14ac:dyDescent="0.25">
      <c r="A45" s="23">
        <v>44</v>
      </c>
      <c r="B45" s="57">
        <v>1458696</v>
      </c>
      <c r="C45" s="57">
        <v>1217982</v>
      </c>
      <c r="D45" s="5" t="s">
        <v>87</v>
      </c>
      <c r="E45" s="5" t="s">
        <v>25</v>
      </c>
      <c r="F45" s="5" t="s">
        <v>7</v>
      </c>
      <c r="G45" s="5" t="s">
        <v>148</v>
      </c>
      <c r="H45" s="5" t="s">
        <v>163</v>
      </c>
      <c r="I45" s="5" t="s">
        <v>153</v>
      </c>
      <c r="J45" s="5">
        <v>80</v>
      </c>
      <c r="K45" s="5" t="s">
        <v>165</v>
      </c>
      <c r="L45" s="5"/>
      <c r="M45" s="23" t="s">
        <v>88</v>
      </c>
      <c r="N45" s="5">
        <v>10999</v>
      </c>
      <c r="O45" s="6" t="s">
        <v>15</v>
      </c>
      <c r="P45" s="7">
        <v>45548</v>
      </c>
      <c r="Q45" s="7">
        <v>45565</v>
      </c>
      <c r="R45" s="7">
        <v>45581</v>
      </c>
      <c r="S45" s="5" t="s">
        <v>27</v>
      </c>
      <c r="T45" s="5" t="s">
        <v>196</v>
      </c>
    </row>
    <row r="46" spans="1:20" ht="20.100000000000001" customHeight="1" x14ac:dyDescent="0.25">
      <c r="A46" s="23">
        <v>45</v>
      </c>
      <c r="B46" s="57">
        <v>1480814</v>
      </c>
      <c r="C46" s="57">
        <v>1223964</v>
      </c>
      <c r="D46" s="5" t="s">
        <v>90</v>
      </c>
      <c r="E46" s="5" t="s">
        <v>91</v>
      </c>
      <c r="F46" s="5" t="s">
        <v>7</v>
      </c>
      <c r="G46" s="5" t="s">
        <v>148</v>
      </c>
      <c r="H46" s="5" t="s">
        <v>163</v>
      </c>
      <c r="I46" s="5" t="s">
        <v>153</v>
      </c>
      <c r="J46" s="5">
        <v>140</v>
      </c>
      <c r="K46" s="5" t="s">
        <v>168</v>
      </c>
      <c r="L46" s="5"/>
      <c r="M46" s="23" t="s">
        <v>92</v>
      </c>
      <c r="N46" s="5">
        <v>13099</v>
      </c>
      <c r="O46" s="6" t="s">
        <v>15</v>
      </c>
      <c r="P46" s="7">
        <v>45548</v>
      </c>
      <c r="Q46" s="7">
        <v>45565</v>
      </c>
      <c r="R46" s="7">
        <v>45568</v>
      </c>
      <c r="S46" s="5" t="s">
        <v>27</v>
      </c>
      <c r="T46" s="5" t="s">
        <v>196</v>
      </c>
    </row>
    <row r="47" spans="1:20" ht="20.100000000000001" customHeight="1" x14ac:dyDescent="0.25">
      <c r="A47" s="23">
        <v>46</v>
      </c>
      <c r="B47" s="57">
        <v>1492471</v>
      </c>
      <c r="C47" s="57">
        <v>1227052</v>
      </c>
      <c r="D47" s="5" t="s">
        <v>95</v>
      </c>
      <c r="E47" s="5" t="s">
        <v>38</v>
      </c>
      <c r="F47" s="5" t="s">
        <v>7</v>
      </c>
      <c r="G47" s="5" t="s">
        <v>148</v>
      </c>
      <c r="H47" s="5" t="s">
        <v>163</v>
      </c>
      <c r="I47" s="5" t="s">
        <v>152</v>
      </c>
      <c r="J47" s="5">
        <v>120</v>
      </c>
      <c r="K47" s="5" t="s">
        <v>171</v>
      </c>
      <c r="L47" s="5"/>
      <c r="M47" s="23" t="s">
        <v>96</v>
      </c>
      <c r="N47" s="5">
        <v>13849</v>
      </c>
      <c r="O47" s="6" t="s">
        <v>15</v>
      </c>
      <c r="P47" s="7">
        <v>45548</v>
      </c>
      <c r="Q47" s="7">
        <v>45565</v>
      </c>
      <c r="R47" s="7">
        <v>45585</v>
      </c>
      <c r="S47" s="5" t="s">
        <v>197</v>
      </c>
      <c r="T47" s="5" t="s">
        <v>196</v>
      </c>
    </row>
    <row r="48" spans="1:20" ht="20.100000000000001" customHeight="1" x14ac:dyDescent="0.25">
      <c r="A48" s="23">
        <v>47</v>
      </c>
      <c r="B48" s="57">
        <v>1507912</v>
      </c>
      <c r="C48" s="57">
        <v>1230527</v>
      </c>
      <c r="D48" s="5" t="s">
        <v>99</v>
      </c>
      <c r="E48" s="5" t="s">
        <v>100</v>
      </c>
      <c r="F48" s="5" t="s">
        <v>7</v>
      </c>
      <c r="G48" s="5" t="s">
        <v>159</v>
      </c>
      <c r="H48" s="5" t="s">
        <v>162</v>
      </c>
      <c r="I48" s="5"/>
      <c r="J48" s="5"/>
      <c r="K48" s="5" t="s">
        <v>166</v>
      </c>
      <c r="L48" s="5" t="s">
        <v>170</v>
      </c>
      <c r="M48" s="23" t="s">
        <v>101</v>
      </c>
      <c r="N48" s="5">
        <v>21999</v>
      </c>
      <c r="O48" s="6" t="s">
        <v>15</v>
      </c>
      <c r="P48" s="7">
        <v>45548</v>
      </c>
      <c r="Q48" s="7">
        <v>45565</v>
      </c>
      <c r="R48" s="5" t="s">
        <v>27</v>
      </c>
      <c r="S48" s="5" t="s">
        <v>197</v>
      </c>
      <c r="T48" s="5" t="s">
        <v>196</v>
      </c>
    </row>
    <row r="49" spans="1:20" ht="20.100000000000001" customHeight="1" x14ac:dyDescent="0.25">
      <c r="A49" s="23">
        <v>48</v>
      </c>
      <c r="B49" s="57">
        <v>1525747</v>
      </c>
      <c r="C49" s="57">
        <v>1234936</v>
      </c>
      <c r="D49" s="5" t="s">
        <v>106</v>
      </c>
      <c r="E49" s="5" t="s">
        <v>38</v>
      </c>
      <c r="F49" s="5" t="s">
        <v>7</v>
      </c>
      <c r="G49" s="5" t="s">
        <v>148</v>
      </c>
      <c r="H49" s="5" t="s">
        <v>163</v>
      </c>
      <c r="I49" s="5" t="s">
        <v>153</v>
      </c>
      <c r="J49" s="5">
        <v>80</v>
      </c>
      <c r="K49" s="5" t="s">
        <v>165</v>
      </c>
      <c r="L49" s="5"/>
      <c r="M49" s="23" t="s">
        <v>88</v>
      </c>
      <c r="N49" s="5">
        <v>10999</v>
      </c>
      <c r="O49" s="6" t="s">
        <v>15</v>
      </c>
      <c r="P49" s="7">
        <v>45548</v>
      </c>
      <c r="Q49" s="7">
        <v>45565</v>
      </c>
      <c r="R49" s="7">
        <v>45580</v>
      </c>
      <c r="S49" s="5" t="s">
        <v>197</v>
      </c>
      <c r="T49" s="5" t="s">
        <v>196</v>
      </c>
    </row>
    <row r="50" spans="1:20" ht="20.100000000000001" customHeight="1" x14ac:dyDescent="0.25">
      <c r="A50" s="23">
        <v>49</v>
      </c>
      <c r="B50" s="57">
        <v>1536313</v>
      </c>
      <c r="C50" s="57">
        <v>1237601</v>
      </c>
      <c r="D50" s="5" t="s">
        <v>108</v>
      </c>
      <c r="E50" s="5" t="s">
        <v>105</v>
      </c>
      <c r="F50" s="5" t="s">
        <v>7</v>
      </c>
      <c r="G50" s="5" t="s">
        <v>148</v>
      </c>
      <c r="H50" s="5" t="s">
        <v>169</v>
      </c>
      <c r="I50" s="5" t="s">
        <v>153</v>
      </c>
      <c r="J50" s="5">
        <v>90</v>
      </c>
      <c r="K50" s="5" t="s">
        <v>166</v>
      </c>
      <c r="L50" s="5"/>
      <c r="M50" s="23" t="s">
        <v>109</v>
      </c>
      <c r="N50" s="5">
        <v>17249</v>
      </c>
      <c r="O50" s="6" t="s">
        <v>15</v>
      </c>
      <c r="P50" s="7">
        <v>45548</v>
      </c>
      <c r="Q50" s="7">
        <v>45565</v>
      </c>
      <c r="R50" s="7">
        <v>45569</v>
      </c>
      <c r="S50" s="5" t="s">
        <v>197</v>
      </c>
      <c r="T50" s="5" t="s">
        <v>196</v>
      </c>
    </row>
    <row r="51" spans="1:20" ht="20.100000000000001" customHeight="1" x14ac:dyDescent="0.25">
      <c r="A51" s="23">
        <v>50</v>
      </c>
      <c r="B51" s="57">
        <v>1505609</v>
      </c>
      <c r="C51" s="57">
        <v>1230031</v>
      </c>
      <c r="D51" s="5" t="s">
        <v>136</v>
      </c>
      <c r="E51" s="5" t="s">
        <v>137</v>
      </c>
      <c r="F51" s="5" t="s">
        <v>7</v>
      </c>
      <c r="G51" s="5" t="s">
        <v>155</v>
      </c>
      <c r="H51" s="5" t="s">
        <v>185</v>
      </c>
      <c r="I51" s="5"/>
      <c r="J51" s="5"/>
      <c r="K51" s="5"/>
      <c r="L51" s="5"/>
      <c r="M51" s="23" t="s">
        <v>138</v>
      </c>
      <c r="N51" s="5">
        <v>8349</v>
      </c>
      <c r="O51" s="6" t="s">
        <v>15</v>
      </c>
      <c r="P51" s="7">
        <v>45549</v>
      </c>
      <c r="Q51" s="7">
        <v>45581</v>
      </c>
      <c r="R51" s="7">
        <v>45586</v>
      </c>
      <c r="S51" s="5" t="s">
        <v>197</v>
      </c>
      <c r="T51" s="5" t="s">
        <v>196</v>
      </c>
    </row>
    <row r="52" spans="1:20" ht="20.100000000000001" customHeight="1" x14ac:dyDescent="0.25">
      <c r="A52" s="23">
        <v>51</v>
      </c>
      <c r="B52" s="57">
        <v>1612229</v>
      </c>
      <c r="C52" s="57">
        <v>1254076</v>
      </c>
      <c r="D52" s="5" t="s">
        <v>116</v>
      </c>
      <c r="E52" s="5" t="s">
        <v>61</v>
      </c>
      <c r="F52" s="5" t="s">
        <v>7</v>
      </c>
      <c r="G52" s="5" t="s">
        <v>155</v>
      </c>
      <c r="H52" s="5" t="s">
        <v>186</v>
      </c>
      <c r="I52" s="5"/>
      <c r="J52" s="5"/>
      <c r="K52" s="5"/>
      <c r="L52" s="5"/>
      <c r="M52" s="23" t="s">
        <v>26</v>
      </c>
      <c r="N52" s="5">
        <v>7849</v>
      </c>
      <c r="O52" s="6" t="s">
        <v>15</v>
      </c>
      <c r="P52" s="7">
        <v>45549</v>
      </c>
      <c r="Q52" s="7">
        <v>45594</v>
      </c>
      <c r="R52" s="7">
        <v>45595</v>
      </c>
      <c r="S52" s="5" t="s">
        <v>197</v>
      </c>
      <c r="T52" s="5" t="s">
        <v>196</v>
      </c>
    </row>
    <row r="53" spans="1:20" ht="20.100000000000001" customHeight="1" x14ac:dyDescent="0.25">
      <c r="A53" s="23">
        <v>52</v>
      </c>
      <c r="B53" s="57">
        <v>1673771</v>
      </c>
      <c r="C53" s="57">
        <v>1269559</v>
      </c>
      <c r="D53" s="5" t="s">
        <v>117</v>
      </c>
      <c r="E53" s="5" t="s">
        <v>38</v>
      </c>
      <c r="F53" s="5" t="s">
        <v>7</v>
      </c>
      <c r="G53" s="5" t="s">
        <v>148</v>
      </c>
      <c r="H53" s="5" t="s">
        <v>149</v>
      </c>
      <c r="I53" s="5"/>
      <c r="J53" s="5"/>
      <c r="K53" s="5" t="s">
        <v>166</v>
      </c>
      <c r="L53" s="5" t="s">
        <v>166</v>
      </c>
      <c r="M53" s="23" t="s">
        <v>118</v>
      </c>
      <c r="N53" s="5">
        <v>9399</v>
      </c>
      <c r="O53" s="6" t="s">
        <v>113</v>
      </c>
      <c r="P53" s="7">
        <v>45549</v>
      </c>
      <c r="Q53" s="7">
        <v>45594</v>
      </c>
      <c r="R53" s="7">
        <v>45580</v>
      </c>
      <c r="S53" s="5" t="s">
        <v>197</v>
      </c>
      <c r="T53" s="5" t="s">
        <v>196</v>
      </c>
    </row>
    <row r="54" spans="1:20" ht="20.100000000000001" customHeight="1" x14ac:dyDescent="0.25">
      <c r="A54" s="23">
        <v>53</v>
      </c>
      <c r="B54" s="57">
        <v>1667352</v>
      </c>
      <c r="C54" s="57">
        <v>1267819</v>
      </c>
      <c r="D54" s="5" t="s">
        <v>119</v>
      </c>
      <c r="E54" s="5" t="s">
        <v>120</v>
      </c>
      <c r="F54" s="5" t="s">
        <v>7</v>
      </c>
      <c r="G54" s="5" t="s">
        <v>148</v>
      </c>
      <c r="H54" s="5" t="s">
        <v>151</v>
      </c>
      <c r="I54" s="5" t="s">
        <v>154</v>
      </c>
      <c r="J54" s="5">
        <v>140</v>
      </c>
      <c r="K54" s="5" t="s">
        <v>166</v>
      </c>
      <c r="L54" s="5"/>
      <c r="M54" s="23" t="s">
        <v>121</v>
      </c>
      <c r="N54" s="5">
        <v>11817</v>
      </c>
      <c r="O54" s="6" t="s">
        <v>113</v>
      </c>
      <c r="P54" s="7">
        <v>45549</v>
      </c>
      <c r="Q54" s="7">
        <v>45594</v>
      </c>
      <c r="R54" s="7">
        <v>45580</v>
      </c>
      <c r="S54" s="5" t="s">
        <v>197</v>
      </c>
      <c r="T54" s="5" t="s">
        <v>196</v>
      </c>
    </row>
    <row r="55" spans="1:20" ht="20.100000000000001" customHeight="1" x14ac:dyDescent="0.25">
      <c r="A55" s="23">
        <v>54</v>
      </c>
      <c r="B55" s="57">
        <v>1649781</v>
      </c>
      <c r="C55" s="57">
        <v>1263160</v>
      </c>
      <c r="D55" s="5" t="s">
        <v>122</v>
      </c>
      <c r="E55" s="5" t="s">
        <v>86</v>
      </c>
      <c r="F55" s="5" t="s">
        <v>7</v>
      </c>
      <c r="G55" s="5" t="s">
        <v>155</v>
      </c>
      <c r="H55" s="5" t="s">
        <v>187</v>
      </c>
      <c r="I55" s="5"/>
      <c r="J55" s="5"/>
      <c r="K55" s="5"/>
      <c r="L55" s="5"/>
      <c r="M55" s="23" t="s">
        <v>123</v>
      </c>
      <c r="N55" s="5">
        <v>8349</v>
      </c>
      <c r="O55" s="6" t="s">
        <v>113</v>
      </c>
      <c r="P55" s="7">
        <v>45549</v>
      </c>
      <c r="Q55" s="7">
        <v>45594</v>
      </c>
      <c r="R55" s="7">
        <v>45584</v>
      </c>
      <c r="S55" s="5" t="s">
        <v>197</v>
      </c>
      <c r="T55" s="5" t="s">
        <v>196</v>
      </c>
    </row>
    <row r="56" spans="1:20" ht="20.100000000000001" customHeight="1" x14ac:dyDescent="0.25">
      <c r="A56" s="35">
        <v>55</v>
      </c>
      <c r="B56" s="54">
        <v>1681476</v>
      </c>
      <c r="C56" s="54">
        <v>1271813</v>
      </c>
      <c r="D56" s="3" t="s">
        <v>126</v>
      </c>
      <c r="E56" s="3" t="s">
        <v>127</v>
      </c>
      <c r="F56" s="3" t="s">
        <v>7</v>
      </c>
      <c r="G56" s="3" t="s">
        <v>148</v>
      </c>
      <c r="H56" s="3" t="s">
        <v>151</v>
      </c>
      <c r="I56" s="3" t="s">
        <v>175</v>
      </c>
      <c r="J56" s="3">
        <v>120</v>
      </c>
      <c r="K56" s="3" t="s">
        <v>165</v>
      </c>
      <c r="L56" s="3"/>
      <c r="M56" s="38" t="s">
        <v>128</v>
      </c>
      <c r="N56" s="3">
        <v>17886</v>
      </c>
      <c r="O56" s="12" t="s">
        <v>113</v>
      </c>
      <c r="P56" s="4">
        <v>45549</v>
      </c>
      <c r="Q56" s="4">
        <v>45594</v>
      </c>
      <c r="R56" s="3"/>
      <c r="S56" s="3"/>
      <c r="T56" s="3" t="s">
        <v>191</v>
      </c>
    </row>
    <row r="57" spans="1:20" ht="20.100000000000001" customHeight="1" x14ac:dyDescent="0.25">
      <c r="A57" s="35">
        <v>56</v>
      </c>
      <c r="B57" s="54">
        <v>1681477</v>
      </c>
      <c r="C57" s="54">
        <v>1271813</v>
      </c>
      <c r="D57" s="3" t="s">
        <v>126</v>
      </c>
      <c r="E57" s="3" t="s">
        <v>127</v>
      </c>
      <c r="F57" s="3" t="s">
        <v>7</v>
      </c>
      <c r="G57" s="3" t="s">
        <v>148</v>
      </c>
      <c r="H57" s="3" t="s">
        <v>151</v>
      </c>
      <c r="I57" s="3" t="s">
        <v>175</v>
      </c>
      <c r="J57" s="3">
        <v>120</v>
      </c>
      <c r="K57" s="3" t="s">
        <v>165</v>
      </c>
      <c r="L57" s="3"/>
      <c r="M57" s="38" t="s">
        <v>128</v>
      </c>
      <c r="N57" s="3">
        <v>17886</v>
      </c>
      <c r="O57" s="12" t="s">
        <v>113</v>
      </c>
      <c r="P57" s="4">
        <v>45549</v>
      </c>
      <c r="Q57" s="4">
        <v>45594</v>
      </c>
      <c r="R57" s="3"/>
      <c r="S57" s="3"/>
      <c r="T57" s="3" t="s">
        <v>191</v>
      </c>
    </row>
    <row r="58" spans="1:20" ht="20.100000000000001" customHeight="1" x14ac:dyDescent="0.25">
      <c r="A58" s="23">
        <v>57</v>
      </c>
      <c r="B58" s="57">
        <v>1677530</v>
      </c>
      <c r="C58" s="57">
        <v>1270704</v>
      </c>
      <c r="D58" s="5" t="s">
        <v>129</v>
      </c>
      <c r="E58" s="5" t="s">
        <v>66</v>
      </c>
      <c r="F58" s="5" t="s">
        <v>7</v>
      </c>
      <c r="G58" s="5" t="s">
        <v>148</v>
      </c>
      <c r="H58" s="5" t="s">
        <v>151</v>
      </c>
      <c r="I58" s="5" t="s">
        <v>154</v>
      </c>
      <c r="J58" s="5">
        <v>120</v>
      </c>
      <c r="K58" s="5" t="s">
        <v>165</v>
      </c>
      <c r="L58" s="5"/>
      <c r="M58" s="23" t="s">
        <v>130</v>
      </c>
      <c r="N58" s="5">
        <v>10987</v>
      </c>
      <c r="O58" s="6" t="s">
        <v>15</v>
      </c>
      <c r="P58" s="7">
        <v>45549</v>
      </c>
      <c r="Q58" s="7">
        <v>45594</v>
      </c>
      <c r="R58" s="7">
        <v>45578</v>
      </c>
      <c r="S58" s="5" t="s">
        <v>197</v>
      </c>
      <c r="T58" s="5" t="s">
        <v>196</v>
      </c>
    </row>
    <row r="59" spans="1:20" ht="20.100000000000001" customHeight="1" x14ac:dyDescent="0.25">
      <c r="A59" s="23">
        <v>58</v>
      </c>
      <c r="B59" s="57">
        <v>1677528</v>
      </c>
      <c r="C59" s="57">
        <v>1270704</v>
      </c>
      <c r="D59" s="5" t="s">
        <v>129</v>
      </c>
      <c r="E59" s="5" t="s">
        <v>66</v>
      </c>
      <c r="F59" s="5" t="s">
        <v>7</v>
      </c>
      <c r="G59" s="5" t="s">
        <v>148</v>
      </c>
      <c r="H59" s="5" t="s">
        <v>151</v>
      </c>
      <c r="I59" s="5" t="s">
        <v>154</v>
      </c>
      <c r="J59" s="5">
        <v>120</v>
      </c>
      <c r="K59" s="5" t="s">
        <v>165</v>
      </c>
      <c r="L59" s="5"/>
      <c r="M59" s="23" t="s">
        <v>130</v>
      </c>
      <c r="N59" s="5">
        <v>10987</v>
      </c>
      <c r="O59" s="6" t="s">
        <v>15</v>
      </c>
      <c r="P59" s="7">
        <v>45549</v>
      </c>
      <c r="Q59" s="7">
        <v>45594</v>
      </c>
      <c r="R59" s="7">
        <v>45578</v>
      </c>
      <c r="S59" s="5" t="s">
        <v>197</v>
      </c>
      <c r="T59" s="5" t="s">
        <v>196</v>
      </c>
    </row>
    <row r="60" spans="1:20" ht="20.100000000000001" customHeight="1" x14ac:dyDescent="0.25">
      <c r="A60" s="23">
        <v>59</v>
      </c>
      <c r="B60" s="57">
        <v>1657744</v>
      </c>
      <c r="C60" s="57">
        <v>1265268</v>
      </c>
      <c r="D60" s="5" t="s">
        <v>132</v>
      </c>
      <c r="E60" s="5" t="s">
        <v>133</v>
      </c>
      <c r="F60" s="5" t="s">
        <v>7</v>
      </c>
      <c r="G60" s="5" t="s">
        <v>155</v>
      </c>
      <c r="H60" s="5" t="s">
        <v>185</v>
      </c>
      <c r="I60" s="5"/>
      <c r="J60" s="5"/>
      <c r="K60" s="5"/>
      <c r="L60" s="5"/>
      <c r="M60" s="23" t="s">
        <v>62</v>
      </c>
      <c r="N60" s="5">
        <v>10319</v>
      </c>
      <c r="O60" s="6" t="s">
        <v>15</v>
      </c>
      <c r="P60" s="7">
        <v>45549</v>
      </c>
      <c r="Q60" s="7">
        <v>45594</v>
      </c>
      <c r="R60" s="7">
        <v>45584</v>
      </c>
      <c r="S60" s="5" t="s">
        <v>197</v>
      </c>
      <c r="T60" s="5" t="s">
        <v>196</v>
      </c>
    </row>
    <row r="61" spans="1:20" ht="20.100000000000001" customHeight="1" x14ac:dyDescent="0.25">
      <c r="A61" s="23">
        <v>60</v>
      </c>
      <c r="B61" s="57">
        <v>1610613</v>
      </c>
      <c r="C61" s="57">
        <v>1253646</v>
      </c>
      <c r="D61" s="5" t="s">
        <v>110</v>
      </c>
      <c r="E61" s="5" t="s">
        <v>111</v>
      </c>
      <c r="F61" s="5" t="s">
        <v>7</v>
      </c>
      <c r="G61" s="5" t="s">
        <v>148</v>
      </c>
      <c r="H61" s="5" t="s">
        <v>163</v>
      </c>
      <c r="I61" s="5" t="s">
        <v>153</v>
      </c>
      <c r="J61" s="5">
        <v>120</v>
      </c>
      <c r="K61" s="5" t="s">
        <v>170</v>
      </c>
      <c r="L61" s="5"/>
      <c r="M61" s="23" t="s">
        <v>112</v>
      </c>
      <c r="N61" s="5">
        <v>12999</v>
      </c>
      <c r="O61" s="6" t="s">
        <v>113</v>
      </c>
      <c r="P61" s="7">
        <v>45549</v>
      </c>
      <c r="Q61" s="7">
        <v>45616</v>
      </c>
      <c r="R61" s="7">
        <v>45582</v>
      </c>
      <c r="S61" s="5" t="s">
        <v>27</v>
      </c>
      <c r="T61" s="5" t="s">
        <v>196</v>
      </c>
    </row>
    <row r="62" spans="1:20" ht="20.100000000000001" customHeight="1" x14ac:dyDescent="0.25">
      <c r="A62" s="24">
        <v>61</v>
      </c>
      <c r="B62" s="55">
        <v>1608468</v>
      </c>
      <c r="C62" s="55">
        <v>1253172</v>
      </c>
      <c r="D62" s="11" t="s">
        <v>114</v>
      </c>
      <c r="E62" s="11" t="s">
        <v>115</v>
      </c>
      <c r="F62" s="11" t="s">
        <v>7</v>
      </c>
      <c r="G62" s="11" t="s">
        <v>159</v>
      </c>
      <c r="H62" s="11" t="s">
        <v>162</v>
      </c>
      <c r="I62" s="11"/>
      <c r="J62" s="11"/>
      <c r="K62" s="11" t="s">
        <v>166</v>
      </c>
      <c r="L62" s="11" t="s">
        <v>170</v>
      </c>
      <c r="M62" s="38" t="s">
        <v>101</v>
      </c>
      <c r="N62" s="11">
        <v>21999</v>
      </c>
      <c r="O62" s="8" t="s">
        <v>15</v>
      </c>
      <c r="P62" s="9">
        <v>45549</v>
      </c>
      <c r="Q62" s="9">
        <v>45616</v>
      </c>
      <c r="R62" s="9"/>
      <c r="S62" s="11"/>
      <c r="T62" s="3" t="s">
        <v>191</v>
      </c>
    </row>
    <row r="63" spans="1:20" ht="20.100000000000001" customHeight="1" x14ac:dyDescent="0.25">
      <c r="A63" s="23">
        <v>62</v>
      </c>
      <c r="B63" s="57">
        <v>1654554</v>
      </c>
      <c r="C63" s="57">
        <v>1264469</v>
      </c>
      <c r="D63" s="5" t="s">
        <v>124</v>
      </c>
      <c r="E63" s="5" t="s">
        <v>86</v>
      </c>
      <c r="F63" s="5" t="s">
        <v>7</v>
      </c>
      <c r="G63" s="5" t="s">
        <v>148</v>
      </c>
      <c r="H63" s="5" t="s">
        <v>163</v>
      </c>
      <c r="I63" s="5" t="s">
        <v>150</v>
      </c>
      <c r="J63" s="5">
        <v>100</v>
      </c>
      <c r="K63" s="5" t="s">
        <v>170</v>
      </c>
      <c r="L63" s="5"/>
      <c r="M63" s="38" t="s">
        <v>125</v>
      </c>
      <c r="N63" s="5">
        <v>12399</v>
      </c>
      <c r="O63" s="6" t="s">
        <v>15</v>
      </c>
      <c r="P63" s="7">
        <v>45549</v>
      </c>
      <c r="Q63" s="7">
        <v>45616</v>
      </c>
      <c r="R63" s="7">
        <v>45566</v>
      </c>
      <c r="S63" s="5" t="s">
        <v>27</v>
      </c>
      <c r="T63" s="5" t="s">
        <v>196</v>
      </c>
    </row>
    <row r="64" spans="1:20" ht="20.100000000000001" customHeight="1" x14ac:dyDescent="0.25">
      <c r="A64" s="23">
        <v>63</v>
      </c>
      <c r="B64" s="57">
        <v>1644504</v>
      </c>
      <c r="C64" s="57">
        <v>1261644</v>
      </c>
      <c r="D64" s="5" t="s">
        <v>131</v>
      </c>
      <c r="E64" s="5" t="s">
        <v>66</v>
      </c>
      <c r="F64" s="5" t="s">
        <v>7</v>
      </c>
      <c r="G64" s="5" t="s">
        <v>159</v>
      </c>
      <c r="H64" s="5" t="s">
        <v>162</v>
      </c>
      <c r="I64" s="5"/>
      <c r="J64" s="5"/>
      <c r="K64" s="5" t="s">
        <v>166</v>
      </c>
      <c r="L64" s="5" t="s">
        <v>170</v>
      </c>
      <c r="M64" s="23" t="s">
        <v>101</v>
      </c>
      <c r="N64" s="5">
        <v>21999</v>
      </c>
      <c r="O64" s="6" t="s">
        <v>15</v>
      </c>
      <c r="P64" s="7">
        <v>45549</v>
      </c>
      <c r="Q64" s="7">
        <v>45616</v>
      </c>
      <c r="R64" s="7">
        <v>45574</v>
      </c>
      <c r="S64" s="5" t="s">
        <v>197</v>
      </c>
      <c r="T64" s="39" t="s">
        <v>226</v>
      </c>
    </row>
    <row r="65" spans="1:20" ht="20.100000000000001" customHeight="1" x14ac:dyDescent="0.25">
      <c r="A65" s="23">
        <v>64</v>
      </c>
      <c r="B65" s="57">
        <v>1655447</v>
      </c>
      <c r="C65" s="57">
        <v>1264684</v>
      </c>
      <c r="D65" s="5" t="s">
        <v>134</v>
      </c>
      <c r="E65" s="5" t="s">
        <v>61</v>
      </c>
      <c r="F65" s="5" t="s">
        <v>7</v>
      </c>
      <c r="G65" s="5" t="s">
        <v>148</v>
      </c>
      <c r="H65" s="5" t="s">
        <v>163</v>
      </c>
      <c r="I65" s="5" t="s">
        <v>150</v>
      </c>
      <c r="J65" s="5">
        <v>80</v>
      </c>
      <c r="K65" s="5" t="s">
        <v>165</v>
      </c>
      <c r="L65" s="5"/>
      <c r="M65" s="23" t="s">
        <v>135</v>
      </c>
      <c r="N65" s="5">
        <v>10999</v>
      </c>
      <c r="O65" s="6" t="s">
        <v>113</v>
      </c>
      <c r="P65" s="7">
        <v>45549</v>
      </c>
      <c r="Q65" s="7">
        <v>45616</v>
      </c>
      <c r="R65" s="7">
        <v>45581</v>
      </c>
      <c r="S65" s="5" t="s">
        <v>197</v>
      </c>
      <c r="T65" s="39" t="s">
        <v>226</v>
      </c>
    </row>
    <row r="66" spans="1:20" ht="20.100000000000001" customHeight="1" x14ac:dyDescent="0.25">
      <c r="A66" s="23">
        <v>65</v>
      </c>
      <c r="B66" s="57">
        <v>1679731</v>
      </c>
      <c r="C66" s="57">
        <v>1271291</v>
      </c>
      <c r="D66" s="10" t="s">
        <v>181</v>
      </c>
      <c r="E66" s="10" t="s">
        <v>182</v>
      </c>
      <c r="F66" s="5" t="s">
        <v>7</v>
      </c>
      <c r="G66" s="5" t="s">
        <v>148</v>
      </c>
      <c r="H66" s="5" t="s">
        <v>163</v>
      </c>
      <c r="I66" s="5" t="s">
        <v>153</v>
      </c>
      <c r="J66" s="5">
        <v>80</v>
      </c>
      <c r="K66" s="5" t="s">
        <v>165</v>
      </c>
      <c r="L66" s="5"/>
      <c r="M66" s="23"/>
      <c r="N66" s="5">
        <v>10999</v>
      </c>
      <c r="O66" s="6" t="s">
        <v>113</v>
      </c>
      <c r="P66" s="5" t="s">
        <v>193</v>
      </c>
      <c r="Q66" s="7">
        <v>45616</v>
      </c>
      <c r="R66" s="7">
        <v>45581</v>
      </c>
      <c r="S66" s="5" t="s">
        <v>197</v>
      </c>
      <c r="T66" s="39" t="s">
        <v>226</v>
      </c>
    </row>
    <row r="67" spans="1:20" ht="20.100000000000001" customHeight="1" x14ac:dyDescent="0.25">
      <c r="A67" s="23">
        <v>66</v>
      </c>
      <c r="B67" s="57">
        <v>1679739</v>
      </c>
      <c r="C67" s="57">
        <v>1271291</v>
      </c>
      <c r="D67" s="10" t="s">
        <v>181</v>
      </c>
      <c r="E67" s="10" t="s">
        <v>182</v>
      </c>
      <c r="F67" s="5" t="s">
        <v>7</v>
      </c>
      <c r="G67" s="5" t="s">
        <v>148</v>
      </c>
      <c r="H67" s="5" t="s">
        <v>163</v>
      </c>
      <c r="I67" s="5" t="s">
        <v>153</v>
      </c>
      <c r="J67" s="5">
        <v>80</v>
      </c>
      <c r="K67" s="5" t="s">
        <v>165</v>
      </c>
      <c r="L67" s="5"/>
      <c r="M67" s="23"/>
      <c r="N67" s="5">
        <v>10999</v>
      </c>
      <c r="O67" s="6" t="s">
        <v>113</v>
      </c>
      <c r="P67" s="5" t="s">
        <v>193</v>
      </c>
      <c r="Q67" s="7">
        <v>45616</v>
      </c>
      <c r="R67" s="7">
        <v>45581</v>
      </c>
      <c r="S67" s="5" t="s">
        <v>197</v>
      </c>
      <c r="T67" s="39" t="s">
        <v>226</v>
      </c>
    </row>
    <row r="68" spans="1:20" ht="20.100000000000001" customHeight="1" x14ac:dyDescent="0.25">
      <c r="A68" s="23">
        <v>67</v>
      </c>
      <c r="B68" s="57">
        <v>1670668</v>
      </c>
      <c r="C68" s="57">
        <v>1268695</v>
      </c>
      <c r="D68" s="10" t="s">
        <v>183</v>
      </c>
      <c r="E68" s="10" t="s">
        <v>184</v>
      </c>
      <c r="F68" s="5" t="s">
        <v>7</v>
      </c>
      <c r="G68" s="5" t="s">
        <v>159</v>
      </c>
      <c r="H68" s="5" t="s">
        <v>162</v>
      </c>
      <c r="I68" s="5"/>
      <c r="J68" s="5"/>
      <c r="K68" s="5" t="s">
        <v>166</v>
      </c>
      <c r="L68" s="5" t="s">
        <v>170</v>
      </c>
      <c r="M68" s="23"/>
      <c r="N68" s="5">
        <v>21999</v>
      </c>
      <c r="O68" s="6" t="s">
        <v>113</v>
      </c>
      <c r="P68" s="5" t="s">
        <v>193</v>
      </c>
      <c r="Q68" s="7">
        <v>45616</v>
      </c>
      <c r="R68" s="7">
        <v>45584</v>
      </c>
      <c r="S68" s="5" t="s">
        <v>197</v>
      </c>
      <c r="T68" s="5" t="s">
        <v>226</v>
      </c>
    </row>
    <row r="69" spans="1:20" ht="20.100000000000001" customHeight="1" x14ac:dyDescent="0.3">
      <c r="A69" s="48">
        <v>68</v>
      </c>
      <c r="B69" s="65">
        <v>1416625</v>
      </c>
      <c r="C69" s="65">
        <v>1205197</v>
      </c>
      <c r="D69" s="30" t="s">
        <v>194</v>
      </c>
      <c r="E69" s="30" t="s">
        <v>142</v>
      </c>
      <c r="F69" s="5" t="s">
        <v>7</v>
      </c>
      <c r="G69" s="5" t="s">
        <v>155</v>
      </c>
      <c r="H69" s="5" t="s">
        <v>185</v>
      </c>
      <c r="I69" s="30"/>
      <c r="J69" s="30"/>
      <c r="K69" s="30"/>
      <c r="L69" s="30"/>
      <c r="M69" s="5"/>
      <c r="N69" s="30">
        <v>7849</v>
      </c>
      <c r="O69" s="31">
        <v>6306</v>
      </c>
      <c r="P69" s="5" t="s">
        <v>195</v>
      </c>
      <c r="Q69" s="7">
        <v>45595</v>
      </c>
      <c r="R69" s="34">
        <v>45610</v>
      </c>
      <c r="S69" s="5" t="s">
        <v>27</v>
      </c>
      <c r="T69" s="5" t="s">
        <v>196</v>
      </c>
    </row>
    <row r="70" spans="1:20" ht="20.100000000000001" customHeight="1" x14ac:dyDescent="0.3">
      <c r="A70" s="23">
        <v>69</v>
      </c>
      <c r="B70" s="62"/>
      <c r="C70" s="62"/>
      <c r="D70" s="5" t="s">
        <v>81</v>
      </c>
      <c r="E70" s="5" t="s">
        <v>198</v>
      </c>
      <c r="F70" s="5" t="s">
        <v>55</v>
      </c>
      <c r="G70" s="5" t="s">
        <v>148</v>
      </c>
      <c r="H70" s="5" t="s">
        <v>163</v>
      </c>
      <c r="I70" s="5" t="s">
        <v>153</v>
      </c>
      <c r="J70" s="5">
        <v>80</v>
      </c>
      <c r="K70" s="5" t="s">
        <v>165</v>
      </c>
      <c r="L70" s="5"/>
      <c r="M70" s="5"/>
      <c r="N70" s="5">
        <v>5074</v>
      </c>
      <c r="O70" s="6" t="s">
        <v>83</v>
      </c>
      <c r="P70" s="7">
        <v>45556</v>
      </c>
      <c r="Q70" s="7">
        <v>45570</v>
      </c>
      <c r="R70" s="7">
        <v>45577</v>
      </c>
      <c r="S70" s="5" t="s">
        <v>197</v>
      </c>
      <c r="T70" s="39" t="s">
        <v>226</v>
      </c>
    </row>
    <row r="71" spans="1:20" ht="20.100000000000001" customHeight="1" x14ac:dyDescent="0.3">
      <c r="A71" s="23">
        <v>70</v>
      </c>
      <c r="B71" s="62">
        <v>2514</v>
      </c>
      <c r="C71" s="62">
        <v>2514</v>
      </c>
      <c r="D71" s="5" t="s">
        <v>40</v>
      </c>
      <c r="E71" s="5" t="s">
        <v>41</v>
      </c>
      <c r="F71" s="5" t="s">
        <v>42</v>
      </c>
      <c r="G71" s="5" t="s">
        <v>148</v>
      </c>
      <c r="H71" s="5" t="s">
        <v>163</v>
      </c>
      <c r="I71" s="5" t="s">
        <v>152</v>
      </c>
      <c r="J71" s="40">
        <v>100</v>
      </c>
      <c r="K71" s="5" t="s">
        <v>199</v>
      </c>
      <c r="L71" s="5"/>
      <c r="M71" s="5"/>
      <c r="N71" s="5">
        <v>6250</v>
      </c>
      <c r="O71" s="6" t="s">
        <v>83</v>
      </c>
      <c r="P71" s="7">
        <v>45558</v>
      </c>
      <c r="Q71" s="7">
        <v>45573</v>
      </c>
      <c r="R71" s="7">
        <v>45582</v>
      </c>
      <c r="S71" s="5" t="s">
        <v>197</v>
      </c>
      <c r="T71" s="39" t="s">
        <v>226</v>
      </c>
    </row>
    <row r="72" spans="1:20" ht="20.100000000000001" customHeight="1" x14ac:dyDescent="0.3">
      <c r="A72" s="23">
        <v>71</v>
      </c>
      <c r="B72" s="62">
        <v>2514</v>
      </c>
      <c r="C72" s="62">
        <v>2514</v>
      </c>
      <c r="D72" s="5" t="s">
        <v>40</v>
      </c>
      <c r="E72" s="5" t="s">
        <v>41</v>
      </c>
      <c r="F72" s="5" t="s">
        <v>42</v>
      </c>
      <c r="G72" s="5" t="s">
        <v>148</v>
      </c>
      <c r="H72" s="5" t="s">
        <v>163</v>
      </c>
      <c r="I72" s="5" t="s">
        <v>152</v>
      </c>
      <c r="J72" s="40">
        <v>100</v>
      </c>
      <c r="K72" s="5" t="s">
        <v>199</v>
      </c>
      <c r="L72" s="5"/>
      <c r="M72" s="5"/>
      <c r="N72" s="5">
        <v>6250</v>
      </c>
      <c r="O72" s="6" t="s">
        <v>83</v>
      </c>
      <c r="P72" s="7">
        <v>45558</v>
      </c>
      <c r="Q72" s="7">
        <v>45573</v>
      </c>
      <c r="R72" s="7">
        <v>45582</v>
      </c>
      <c r="S72" s="5" t="s">
        <v>197</v>
      </c>
      <c r="T72" s="39" t="s">
        <v>226</v>
      </c>
    </row>
    <row r="73" spans="1:20" ht="20.100000000000001" customHeight="1" x14ac:dyDescent="0.3">
      <c r="A73" s="23">
        <v>72</v>
      </c>
      <c r="B73" s="62">
        <v>1706794</v>
      </c>
      <c r="C73" s="62">
        <v>1281428</v>
      </c>
      <c r="D73" s="5" t="s">
        <v>200</v>
      </c>
      <c r="E73" s="5" t="s">
        <v>41</v>
      </c>
      <c r="F73" s="5" t="s">
        <v>7</v>
      </c>
      <c r="G73" s="5" t="s">
        <v>148</v>
      </c>
      <c r="H73" s="5" t="s">
        <v>151</v>
      </c>
      <c r="I73" s="5" t="s">
        <v>175</v>
      </c>
      <c r="J73" s="5">
        <v>120</v>
      </c>
      <c r="K73" s="5" t="s">
        <v>165</v>
      </c>
      <c r="L73" s="5"/>
      <c r="M73" s="5"/>
      <c r="N73" s="5">
        <v>8943</v>
      </c>
      <c r="O73" s="6">
        <v>9033</v>
      </c>
      <c r="P73" s="7">
        <v>45561</v>
      </c>
      <c r="Q73" s="7">
        <v>45606</v>
      </c>
      <c r="R73" s="7">
        <v>45575</v>
      </c>
      <c r="S73" s="5" t="s">
        <v>197</v>
      </c>
      <c r="T73" s="39" t="s">
        <v>226</v>
      </c>
    </row>
    <row r="74" spans="1:20" ht="20.100000000000001" customHeight="1" x14ac:dyDescent="0.3">
      <c r="A74" s="24">
        <v>73</v>
      </c>
      <c r="B74" s="63">
        <v>1704621</v>
      </c>
      <c r="C74" s="63">
        <v>1280197</v>
      </c>
      <c r="D74" s="11" t="s">
        <v>201</v>
      </c>
      <c r="E74" s="11" t="s">
        <v>202</v>
      </c>
      <c r="F74" s="11" t="s">
        <v>7</v>
      </c>
      <c r="G74" s="11" t="s">
        <v>155</v>
      </c>
      <c r="H74" s="11" t="s">
        <v>187</v>
      </c>
      <c r="I74" s="11"/>
      <c r="J74" s="11"/>
      <c r="K74" s="11"/>
      <c r="L74" s="11"/>
      <c r="M74" s="41"/>
      <c r="N74" s="11">
        <v>8349</v>
      </c>
      <c r="O74" s="8">
        <v>8433</v>
      </c>
      <c r="P74" s="9">
        <v>45561</v>
      </c>
      <c r="Q74" s="9">
        <v>45606</v>
      </c>
      <c r="R74" s="11"/>
      <c r="S74" s="11"/>
      <c r="T74" s="3" t="s">
        <v>191</v>
      </c>
    </row>
    <row r="75" spans="1:20" ht="20.100000000000001" customHeight="1" x14ac:dyDescent="0.3">
      <c r="A75" s="23">
        <v>74</v>
      </c>
      <c r="B75" s="62">
        <v>240078066</v>
      </c>
      <c r="C75" s="62"/>
      <c r="D75" s="5" t="s">
        <v>30</v>
      </c>
      <c r="E75" s="5" t="s">
        <v>228</v>
      </c>
      <c r="F75" s="5" t="s">
        <v>51</v>
      </c>
      <c r="G75" s="5" t="s">
        <v>203</v>
      </c>
      <c r="H75" s="5" t="s">
        <v>204</v>
      </c>
      <c r="I75" s="5"/>
      <c r="J75" s="5"/>
      <c r="K75" s="5"/>
      <c r="L75" s="5" t="s">
        <v>218</v>
      </c>
      <c r="M75" s="5"/>
      <c r="N75" s="5">
        <v>14950</v>
      </c>
      <c r="O75" s="6" t="s">
        <v>15</v>
      </c>
      <c r="P75" s="7">
        <v>45561</v>
      </c>
      <c r="Q75" s="7">
        <v>45579</v>
      </c>
      <c r="R75" s="7">
        <v>45578</v>
      </c>
      <c r="S75" s="5" t="s">
        <v>197</v>
      </c>
      <c r="T75" s="5" t="s">
        <v>196</v>
      </c>
    </row>
    <row r="76" spans="1:20" ht="20.100000000000001" customHeight="1" x14ac:dyDescent="0.25">
      <c r="A76" s="35">
        <v>75</v>
      </c>
      <c r="B76" s="58">
        <v>240077789</v>
      </c>
      <c r="C76" s="64"/>
      <c r="D76" s="3" t="s">
        <v>30</v>
      </c>
      <c r="E76" s="3"/>
      <c r="F76" s="3" t="s">
        <v>51</v>
      </c>
      <c r="G76" s="3" t="s">
        <v>148</v>
      </c>
      <c r="H76" s="3" t="s">
        <v>163</v>
      </c>
      <c r="I76" s="3" t="s">
        <v>152</v>
      </c>
      <c r="J76" s="3">
        <v>100</v>
      </c>
      <c r="K76" s="3" t="s">
        <v>205</v>
      </c>
      <c r="L76" s="3"/>
      <c r="M76" s="3"/>
      <c r="N76" s="3">
        <v>9208</v>
      </c>
      <c r="O76" s="12">
        <v>9608</v>
      </c>
      <c r="P76" s="4">
        <v>45561</v>
      </c>
      <c r="Q76" s="4">
        <v>45579</v>
      </c>
      <c r="R76" s="3"/>
      <c r="S76" s="3"/>
      <c r="T76" s="3" t="s">
        <v>221</v>
      </c>
    </row>
    <row r="77" spans="1:20" ht="20.100000000000001" customHeight="1" x14ac:dyDescent="0.25">
      <c r="A77" s="23">
        <v>76</v>
      </c>
      <c r="B77" s="59">
        <v>240078390</v>
      </c>
      <c r="C77" s="62"/>
      <c r="D77" s="5" t="s">
        <v>30</v>
      </c>
      <c r="E77" s="5"/>
      <c r="F77" s="5" t="s">
        <v>51</v>
      </c>
      <c r="G77" s="5" t="s">
        <v>148</v>
      </c>
      <c r="H77" s="5" t="s">
        <v>151</v>
      </c>
      <c r="I77" s="5" t="s">
        <v>154</v>
      </c>
      <c r="J77" s="5">
        <v>120</v>
      </c>
      <c r="K77" s="5" t="s">
        <v>165</v>
      </c>
      <c r="L77" s="5"/>
      <c r="M77" s="5"/>
      <c r="N77" s="5">
        <v>7433</v>
      </c>
      <c r="O77" s="6" t="s">
        <v>15</v>
      </c>
      <c r="P77" s="7">
        <v>45564</v>
      </c>
      <c r="Q77" s="7">
        <v>45585</v>
      </c>
      <c r="R77" s="7">
        <v>45586</v>
      </c>
      <c r="S77" s="5" t="s">
        <v>197</v>
      </c>
      <c r="T77" s="5" t="s">
        <v>196</v>
      </c>
    </row>
    <row r="78" spans="1:20" ht="20.100000000000001" customHeight="1" x14ac:dyDescent="0.3">
      <c r="A78" s="23">
        <v>77</v>
      </c>
      <c r="B78" s="62"/>
      <c r="C78" s="62"/>
      <c r="D78" s="5" t="s">
        <v>81</v>
      </c>
      <c r="E78" s="5" t="s">
        <v>198</v>
      </c>
      <c r="F78" s="5" t="s">
        <v>55</v>
      </c>
      <c r="G78" s="5" t="s">
        <v>148</v>
      </c>
      <c r="H78" s="5" t="s">
        <v>151</v>
      </c>
      <c r="I78" s="5" t="s">
        <v>175</v>
      </c>
      <c r="J78" s="5">
        <v>120</v>
      </c>
      <c r="K78" s="5" t="s">
        <v>165</v>
      </c>
      <c r="L78" s="5"/>
      <c r="M78" s="5"/>
      <c r="N78" s="5">
        <v>4020</v>
      </c>
      <c r="O78" s="6" t="s">
        <v>83</v>
      </c>
      <c r="P78" s="7">
        <v>45564</v>
      </c>
      <c r="Q78" s="7">
        <v>45577</v>
      </c>
      <c r="R78" s="7">
        <v>45577</v>
      </c>
      <c r="S78" s="5" t="s">
        <v>197</v>
      </c>
      <c r="T78" s="39" t="s">
        <v>226</v>
      </c>
    </row>
    <row r="79" spans="1:20" ht="20.100000000000001" customHeight="1" x14ac:dyDescent="0.3">
      <c r="A79" s="23">
        <v>78</v>
      </c>
      <c r="B79" s="62"/>
      <c r="C79" s="62"/>
      <c r="D79" s="5" t="s">
        <v>208</v>
      </c>
      <c r="E79" s="5" t="s">
        <v>209</v>
      </c>
      <c r="F79" s="5" t="s">
        <v>210</v>
      </c>
      <c r="G79" s="5" t="s">
        <v>148</v>
      </c>
      <c r="H79" s="5" t="s">
        <v>163</v>
      </c>
      <c r="I79" s="5" t="s">
        <v>211</v>
      </c>
      <c r="J79" s="5">
        <v>100</v>
      </c>
      <c r="K79" s="5" t="s">
        <v>212</v>
      </c>
      <c r="L79" s="5"/>
      <c r="M79" s="5"/>
      <c r="N79" s="5">
        <v>8544.9054400000005</v>
      </c>
      <c r="O79" s="6"/>
      <c r="P79" s="7">
        <v>45566</v>
      </c>
      <c r="Q79" s="7">
        <v>45574</v>
      </c>
      <c r="R79" s="7">
        <v>45574</v>
      </c>
      <c r="S79" s="5" t="s">
        <v>225</v>
      </c>
      <c r="T79" s="5" t="s">
        <v>196</v>
      </c>
    </row>
    <row r="80" spans="1:20" ht="20.100000000000001" customHeight="1" x14ac:dyDescent="0.4">
      <c r="A80" s="23">
        <v>79</v>
      </c>
      <c r="B80" s="62"/>
      <c r="C80" s="62"/>
      <c r="D80" s="5" t="s">
        <v>208</v>
      </c>
      <c r="E80" s="5" t="s">
        <v>209</v>
      </c>
      <c r="F80" s="5" t="s">
        <v>210</v>
      </c>
      <c r="G80" s="5" t="s">
        <v>148</v>
      </c>
      <c r="H80" s="5" t="s">
        <v>149</v>
      </c>
      <c r="I80" s="5"/>
      <c r="J80" s="5"/>
      <c r="K80" s="5" t="s">
        <v>215</v>
      </c>
      <c r="L80" s="5" t="s">
        <v>216</v>
      </c>
      <c r="M80" s="5"/>
      <c r="N80" s="42">
        <v>4600</v>
      </c>
      <c r="O80" s="6"/>
      <c r="P80" s="7">
        <v>45566</v>
      </c>
      <c r="Q80" s="7">
        <v>45574</v>
      </c>
      <c r="R80" s="7">
        <v>45574</v>
      </c>
      <c r="S80" s="5" t="s">
        <v>225</v>
      </c>
      <c r="T80" s="5" t="s">
        <v>196</v>
      </c>
    </row>
    <row r="81" spans="1:20" ht="20.100000000000001" customHeight="1" x14ac:dyDescent="0.3">
      <c r="A81" s="23">
        <v>80</v>
      </c>
      <c r="B81" s="62"/>
      <c r="C81" s="62"/>
      <c r="D81" s="5" t="s">
        <v>208</v>
      </c>
      <c r="E81" s="5" t="s">
        <v>209</v>
      </c>
      <c r="F81" s="5" t="s">
        <v>210</v>
      </c>
      <c r="G81" s="5" t="s">
        <v>203</v>
      </c>
      <c r="H81" s="5" t="s">
        <v>213</v>
      </c>
      <c r="I81" s="5"/>
      <c r="J81" s="5"/>
      <c r="K81" s="5" t="s">
        <v>166</v>
      </c>
      <c r="L81" s="5" t="s">
        <v>214</v>
      </c>
      <c r="M81" s="5"/>
      <c r="N81" s="5">
        <v>10000</v>
      </c>
      <c r="O81" s="6"/>
      <c r="P81" s="7">
        <v>45566</v>
      </c>
      <c r="Q81" s="7">
        <v>45574</v>
      </c>
      <c r="R81" s="7">
        <v>45574</v>
      </c>
      <c r="S81" s="5" t="s">
        <v>225</v>
      </c>
      <c r="T81" s="5" t="s">
        <v>196</v>
      </c>
    </row>
    <row r="82" spans="1:20" ht="20.100000000000001" customHeight="1" x14ac:dyDescent="0.3">
      <c r="A82" s="23">
        <v>81</v>
      </c>
      <c r="B82" s="62"/>
      <c r="C82" s="62"/>
      <c r="D82" s="5" t="s">
        <v>208</v>
      </c>
      <c r="E82" s="5" t="s">
        <v>209</v>
      </c>
      <c r="F82" s="5" t="s">
        <v>210</v>
      </c>
      <c r="G82" s="5" t="s">
        <v>217</v>
      </c>
      <c r="H82" s="5"/>
      <c r="I82" s="5"/>
      <c r="J82" s="5"/>
      <c r="K82" s="5" t="s">
        <v>166</v>
      </c>
      <c r="L82" s="5" t="s">
        <v>218</v>
      </c>
      <c r="M82" s="5"/>
      <c r="N82" s="5"/>
      <c r="O82" s="6"/>
      <c r="P82" s="7">
        <v>45566</v>
      </c>
      <c r="Q82" s="7">
        <v>45574</v>
      </c>
      <c r="R82" s="7">
        <v>45574</v>
      </c>
      <c r="S82" s="5" t="s">
        <v>225</v>
      </c>
      <c r="T82" s="5" t="s">
        <v>196</v>
      </c>
    </row>
    <row r="83" spans="1:20" ht="20.100000000000001" customHeight="1" x14ac:dyDescent="0.3">
      <c r="A83" s="35">
        <v>82</v>
      </c>
      <c r="B83" s="64">
        <v>1282228</v>
      </c>
      <c r="C83" s="64">
        <v>1708226</v>
      </c>
      <c r="D83" s="3" t="s">
        <v>219</v>
      </c>
      <c r="E83" s="3" t="s">
        <v>220</v>
      </c>
      <c r="F83" s="3" t="s">
        <v>7</v>
      </c>
      <c r="G83" s="3" t="s">
        <v>148</v>
      </c>
      <c r="H83" s="3" t="s">
        <v>149</v>
      </c>
      <c r="I83" s="3"/>
      <c r="J83" s="3"/>
      <c r="K83" s="3" t="s">
        <v>166</v>
      </c>
      <c r="L83" s="3" t="s">
        <v>166</v>
      </c>
      <c r="M83" s="3"/>
      <c r="N83" s="3">
        <v>8899</v>
      </c>
      <c r="O83" s="12">
        <v>8988</v>
      </c>
      <c r="P83" s="4">
        <v>45568</v>
      </c>
      <c r="Q83" s="4">
        <v>45613</v>
      </c>
      <c r="R83" s="3"/>
      <c r="S83" s="3"/>
      <c r="T83" s="3"/>
    </row>
    <row r="84" spans="1:20" ht="20.100000000000001" customHeight="1" x14ac:dyDescent="0.25">
      <c r="A84" s="23">
        <v>83</v>
      </c>
      <c r="B84" s="59">
        <v>240079328</v>
      </c>
      <c r="C84" s="62"/>
      <c r="D84" s="5" t="s">
        <v>30</v>
      </c>
      <c r="E84" s="5" t="s">
        <v>222</v>
      </c>
      <c r="F84" s="5" t="s">
        <v>30</v>
      </c>
      <c r="G84" s="5" t="s">
        <v>223</v>
      </c>
      <c r="H84" s="5" t="s">
        <v>204</v>
      </c>
      <c r="I84" s="5"/>
      <c r="J84" s="5"/>
      <c r="K84" s="5" t="s">
        <v>205</v>
      </c>
      <c r="L84" s="5" t="s">
        <v>224</v>
      </c>
      <c r="M84" s="5"/>
      <c r="N84" s="5">
        <v>14550</v>
      </c>
      <c r="O84" s="6" t="s">
        <v>15</v>
      </c>
      <c r="P84" s="7">
        <v>45573</v>
      </c>
      <c r="Q84" s="7">
        <v>45594</v>
      </c>
      <c r="R84" s="7">
        <v>45595</v>
      </c>
      <c r="S84" s="5" t="s">
        <v>197</v>
      </c>
      <c r="T84" s="5" t="s">
        <v>196</v>
      </c>
    </row>
    <row r="85" spans="1:20" ht="20.100000000000001" customHeight="1" x14ac:dyDescent="0.25">
      <c r="A85" s="23">
        <v>84</v>
      </c>
      <c r="B85" s="59">
        <v>240078933</v>
      </c>
      <c r="C85" s="62"/>
      <c r="D85" s="5" t="s">
        <v>30</v>
      </c>
      <c r="E85" s="5" t="s">
        <v>227</v>
      </c>
      <c r="F85" s="5" t="s">
        <v>51</v>
      </c>
      <c r="G85" s="5" t="s">
        <v>159</v>
      </c>
      <c r="H85" s="5" t="s">
        <v>204</v>
      </c>
      <c r="I85" s="5"/>
      <c r="J85" s="5"/>
      <c r="K85" s="5" t="s">
        <v>205</v>
      </c>
      <c r="L85" s="5" t="s">
        <v>224</v>
      </c>
      <c r="M85" s="5"/>
      <c r="N85" s="5">
        <v>14550</v>
      </c>
      <c r="O85" s="6" t="s">
        <v>15</v>
      </c>
      <c r="P85" s="7">
        <v>45572</v>
      </c>
      <c r="Q85" s="7">
        <v>45594</v>
      </c>
      <c r="R85" s="7">
        <v>45580</v>
      </c>
      <c r="S85" s="5" t="s">
        <v>197</v>
      </c>
      <c r="T85" s="5" t="s">
        <v>196</v>
      </c>
    </row>
    <row r="86" spans="1:20" ht="20.100000000000001" customHeight="1" x14ac:dyDescent="0.3">
      <c r="A86" s="23">
        <v>85</v>
      </c>
      <c r="B86" s="62">
        <v>240079517</v>
      </c>
      <c r="C86" s="62"/>
      <c r="D86" s="5" t="s">
        <v>30</v>
      </c>
      <c r="E86" s="5"/>
      <c r="F86" s="5" t="s">
        <v>30</v>
      </c>
      <c r="G86" s="5" t="s">
        <v>223</v>
      </c>
      <c r="H86" s="5" t="s">
        <v>204</v>
      </c>
      <c r="I86" s="5"/>
      <c r="J86" s="5"/>
      <c r="K86" s="5" t="s">
        <v>205</v>
      </c>
      <c r="L86" s="5" t="s">
        <v>218</v>
      </c>
      <c r="M86" s="5"/>
      <c r="N86" s="5">
        <v>14550</v>
      </c>
      <c r="O86" s="6">
        <v>11495</v>
      </c>
      <c r="P86" s="7">
        <v>45575</v>
      </c>
      <c r="Q86" s="7">
        <v>45596</v>
      </c>
      <c r="R86" s="7">
        <v>45598</v>
      </c>
      <c r="S86" s="5" t="s">
        <v>197</v>
      </c>
      <c r="T86" s="5" t="s">
        <v>196</v>
      </c>
    </row>
    <row r="87" spans="1:20" ht="20.100000000000001" customHeight="1" x14ac:dyDescent="0.3">
      <c r="A87" s="23">
        <v>86</v>
      </c>
      <c r="B87" s="62">
        <v>1714623</v>
      </c>
      <c r="C87" s="62">
        <v>1284697</v>
      </c>
      <c r="D87" s="5" t="s">
        <v>229</v>
      </c>
      <c r="E87" s="5" t="s">
        <v>100</v>
      </c>
      <c r="F87" s="5" t="s">
        <v>7</v>
      </c>
      <c r="G87" s="5" t="s">
        <v>148</v>
      </c>
      <c r="H87" s="5" t="s">
        <v>163</v>
      </c>
      <c r="I87" s="5" t="s">
        <v>230</v>
      </c>
      <c r="J87" s="5" t="s">
        <v>231</v>
      </c>
      <c r="K87" s="5" t="s">
        <v>232</v>
      </c>
      <c r="L87" s="5"/>
      <c r="M87" s="5"/>
      <c r="N87" s="5">
        <v>12899</v>
      </c>
      <c r="O87" s="6">
        <v>13028</v>
      </c>
      <c r="P87" s="7">
        <v>45578</v>
      </c>
      <c r="Q87" s="7">
        <v>45643</v>
      </c>
      <c r="R87" s="7">
        <v>45598</v>
      </c>
      <c r="S87" s="5" t="s">
        <v>197</v>
      </c>
      <c r="T87" s="5" t="s">
        <v>196</v>
      </c>
    </row>
    <row r="88" spans="1:20" ht="20.100000000000001" customHeight="1" x14ac:dyDescent="0.25">
      <c r="A88" s="23">
        <v>87</v>
      </c>
      <c r="B88" s="59">
        <v>1715473</v>
      </c>
      <c r="C88" s="59">
        <v>1285152</v>
      </c>
      <c r="D88" s="5" t="s">
        <v>233</v>
      </c>
      <c r="E88" s="5" t="s">
        <v>48</v>
      </c>
      <c r="F88" s="5" t="s">
        <v>7</v>
      </c>
      <c r="G88" s="5" t="s">
        <v>148</v>
      </c>
      <c r="H88" s="5" t="s">
        <v>163</v>
      </c>
      <c r="I88" s="5" t="s">
        <v>153</v>
      </c>
      <c r="J88" s="40">
        <v>80</v>
      </c>
      <c r="K88" s="5" t="s">
        <v>165</v>
      </c>
      <c r="L88" s="5"/>
      <c r="M88" s="5"/>
      <c r="N88" s="5">
        <v>10499</v>
      </c>
      <c r="O88" s="6" t="s">
        <v>15</v>
      </c>
      <c r="P88" s="7">
        <v>45581</v>
      </c>
      <c r="Q88" s="7">
        <v>45645</v>
      </c>
      <c r="R88" s="7">
        <v>45586</v>
      </c>
      <c r="S88" s="5" t="s">
        <v>197</v>
      </c>
      <c r="T88" s="5" t="s">
        <v>196</v>
      </c>
    </row>
    <row r="89" spans="1:20" ht="20.100000000000001" customHeight="1" x14ac:dyDescent="0.3">
      <c r="A89" s="23">
        <v>89</v>
      </c>
      <c r="B89" s="62">
        <v>1715992</v>
      </c>
      <c r="C89" s="62">
        <v>1285423</v>
      </c>
      <c r="D89" s="5" t="s">
        <v>235</v>
      </c>
      <c r="E89" s="5" t="s">
        <v>236</v>
      </c>
      <c r="F89" s="5" t="s">
        <v>7</v>
      </c>
      <c r="G89" s="5" t="s">
        <v>148</v>
      </c>
      <c r="H89" s="5" t="s">
        <v>163</v>
      </c>
      <c r="I89" s="5" t="s">
        <v>150</v>
      </c>
      <c r="J89" s="5" t="s">
        <v>237</v>
      </c>
      <c r="K89" s="5" t="s">
        <v>232</v>
      </c>
      <c r="L89" s="5"/>
      <c r="M89" s="5"/>
      <c r="N89" s="5">
        <v>12899</v>
      </c>
      <c r="O89" s="6" t="s">
        <v>15</v>
      </c>
      <c r="P89" s="7">
        <v>45582</v>
      </c>
      <c r="Q89" s="7">
        <v>45648</v>
      </c>
      <c r="R89" s="7">
        <v>45629</v>
      </c>
      <c r="S89" s="5" t="s">
        <v>27</v>
      </c>
      <c r="T89" s="5" t="s">
        <v>226</v>
      </c>
    </row>
    <row r="90" spans="1:20" ht="20.100000000000001" customHeight="1" x14ac:dyDescent="0.3">
      <c r="A90" s="23">
        <v>90</v>
      </c>
      <c r="B90" s="62" t="s">
        <v>239</v>
      </c>
      <c r="C90" s="65"/>
      <c r="D90" s="5" t="s">
        <v>238</v>
      </c>
      <c r="E90" s="5" t="s">
        <v>240</v>
      </c>
      <c r="F90" s="5" t="s">
        <v>241</v>
      </c>
      <c r="G90" s="5" t="s">
        <v>148</v>
      </c>
      <c r="H90" s="5" t="s">
        <v>151</v>
      </c>
      <c r="I90" s="5" t="s">
        <v>242</v>
      </c>
      <c r="J90" s="5">
        <v>140</v>
      </c>
      <c r="K90" s="5" t="s">
        <v>218</v>
      </c>
      <c r="L90" s="5" t="s">
        <v>243</v>
      </c>
      <c r="M90" s="5"/>
      <c r="N90" s="5">
        <v>5135</v>
      </c>
      <c r="O90" s="6" t="s">
        <v>15</v>
      </c>
      <c r="P90" s="7">
        <v>45585</v>
      </c>
      <c r="Q90" s="7">
        <v>45613</v>
      </c>
      <c r="R90" s="7">
        <v>45610</v>
      </c>
      <c r="S90" s="5" t="s">
        <v>197</v>
      </c>
      <c r="T90" s="5" t="s">
        <v>196</v>
      </c>
    </row>
    <row r="91" spans="1:20" ht="20.100000000000001" customHeight="1" x14ac:dyDescent="0.3">
      <c r="A91" s="23">
        <v>91</v>
      </c>
      <c r="B91" s="62">
        <v>240080607</v>
      </c>
      <c r="C91" s="62"/>
      <c r="D91" s="5" t="s">
        <v>30</v>
      </c>
      <c r="E91" s="5" t="s">
        <v>202</v>
      </c>
      <c r="F91" s="5" t="s">
        <v>51</v>
      </c>
      <c r="G91" s="5" t="s">
        <v>148</v>
      </c>
      <c r="H91" s="5" t="s">
        <v>163</v>
      </c>
      <c r="I91" s="5" t="s">
        <v>244</v>
      </c>
      <c r="J91" s="5">
        <v>100</v>
      </c>
      <c r="K91" s="5" t="s">
        <v>245</v>
      </c>
      <c r="L91" s="5"/>
      <c r="M91" s="5"/>
      <c r="N91" s="5">
        <v>12777.5</v>
      </c>
      <c r="O91" s="6">
        <v>11277.5</v>
      </c>
      <c r="P91" s="7">
        <v>45587</v>
      </c>
      <c r="Q91" s="7">
        <v>45608</v>
      </c>
      <c r="R91" s="7">
        <v>45614</v>
      </c>
      <c r="S91" s="5" t="s">
        <v>197</v>
      </c>
      <c r="T91" s="5" t="s">
        <v>196</v>
      </c>
    </row>
    <row r="92" spans="1:20" ht="20.100000000000001" customHeight="1" x14ac:dyDescent="0.3">
      <c r="A92" s="23">
        <v>92</v>
      </c>
      <c r="B92" s="62">
        <v>240080607</v>
      </c>
      <c r="C92" s="62"/>
      <c r="D92" s="5" t="s">
        <v>30</v>
      </c>
      <c r="E92" s="5" t="s">
        <v>202</v>
      </c>
      <c r="F92" s="5" t="s">
        <v>51</v>
      </c>
      <c r="G92" s="5" t="s">
        <v>148</v>
      </c>
      <c r="H92" s="5" t="s">
        <v>163</v>
      </c>
      <c r="I92" s="5" t="s">
        <v>244</v>
      </c>
      <c r="J92" s="5">
        <v>100</v>
      </c>
      <c r="K92" s="5" t="s">
        <v>245</v>
      </c>
      <c r="L92" s="5"/>
      <c r="M92" s="5"/>
      <c r="N92" s="5">
        <v>12777.5</v>
      </c>
      <c r="O92" s="6">
        <v>11277.5</v>
      </c>
      <c r="P92" s="7">
        <v>45587</v>
      </c>
      <c r="Q92" s="7">
        <v>45608</v>
      </c>
      <c r="R92" s="7">
        <v>45614</v>
      </c>
      <c r="S92" s="5" t="s">
        <v>197</v>
      </c>
      <c r="T92" s="5" t="s">
        <v>196</v>
      </c>
    </row>
    <row r="93" spans="1:20" ht="20.100000000000001" customHeight="1" x14ac:dyDescent="0.3">
      <c r="A93" s="35">
        <v>93</v>
      </c>
      <c r="B93" s="64"/>
      <c r="C93" s="64"/>
      <c r="D93" s="3" t="s">
        <v>81</v>
      </c>
      <c r="E93" s="3" t="s">
        <v>246</v>
      </c>
      <c r="F93" s="3" t="s">
        <v>55</v>
      </c>
      <c r="G93" s="3" t="s">
        <v>148</v>
      </c>
      <c r="H93" s="3" t="s">
        <v>163</v>
      </c>
      <c r="I93" s="3" t="s">
        <v>244</v>
      </c>
      <c r="J93" s="3">
        <v>100</v>
      </c>
      <c r="K93" s="3" t="s">
        <v>245</v>
      </c>
      <c r="L93" s="3"/>
      <c r="M93" s="3"/>
      <c r="N93" s="3">
        <v>8544.91</v>
      </c>
      <c r="O93" s="12" t="s">
        <v>83</v>
      </c>
      <c r="P93" s="4">
        <v>45587</v>
      </c>
      <c r="Q93" s="3" t="s">
        <v>247</v>
      </c>
      <c r="R93" s="3"/>
      <c r="S93" s="3"/>
      <c r="T93" s="3" t="s">
        <v>272</v>
      </c>
    </row>
    <row r="94" spans="1:20" ht="20.100000000000001" customHeight="1" x14ac:dyDescent="0.3">
      <c r="A94" s="23">
        <v>94</v>
      </c>
      <c r="B94" s="62">
        <v>1717458</v>
      </c>
      <c r="C94" s="62">
        <v>1286189</v>
      </c>
      <c r="D94" s="5" t="s">
        <v>248</v>
      </c>
      <c r="E94" s="5" t="s">
        <v>249</v>
      </c>
      <c r="F94" s="5" t="s">
        <v>7</v>
      </c>
      <c r="G94" s="5" t="s">
        <v>148</v>
      </c>
      <c r="H94" s="5" t="s">
        <v>151</v>
      </c>
      <c r="I94" s="5" t="s">
        <v>175</v>
      </c>
      <c r="J94" s="5">
        <v>120</v>
      </c>
      <c r="K94" s="5" t="s">
        <v>165</v>
      </c>
      <c r="L94" s="5"/>
      <c r="M94" s="5"/>
      <c r="N94" s="5">
        <v>8943</v>
      </c>
      <c r="O94" s="6">
        <v>9007.01</v>
      </c>
      <c r="P94" s="7">
        <v>45586</v>
      </c>
      <c r="Q94" s="7">
        <v>45610</v>
      </c>
      <c r="R94" s="7">
        <v>45614</v>
      </c>
      <c r="S94" s="5" t="s">
        <v>197</v>
      </c>
      <c r="T94" s="5" t="s">
        <v>196</v>
      </c>
    </row>
    <row r="95" spans="1:20" ht="20.100000000000001" customHeight="1" x14ac:dyDescent="0.25">
      <c r="A95" s="23">
        <v>95</v>
      </c>
      <c r="B95" s="59">
        <v>240080858</v>
      </c>
      <c r="C95" s="62"/>
      <c r="D95" s="5" t="s">
        <v>30</v>
      </c>
      <c r="E95" s="5"/>
      <c r="F95" s="5" t="s">
        <v>51</v>
      </c>
      <c r="G95" s="5" t="s">
        <v>203</v>
      </c>
      <c r="H95" s="5" t="s">
        <v>204</v>
      </c>
      <c r="I95" s="5"/>
      <c r="J95" s="5"/>
      <c r="K95" s="5" t="s">
        <v>166</v>
      </c>
      <c r="L95" s="5"/>
      <c r="M95" s="5"/>
      <c r="N95" s="5">
        <v>15516</v>
      </c>
      <c r="O95" s="6" t="s">
        <v>15</v>
      </c>
      <c r="P95" s="7">
        <v>45589</v>
      </c>
      <c r="Q95" s="7">
        <v>45610</v>
      </c>
      <c r="R95" s="7">
        <v>45595</v>
      </c>
      <c r="S95" s="5" t="s">
        <v>197</v>
      </c>
      <c r="T95" s="5" t="s">
        <v>196</v>
      </c>
    </row>
    <row r="96" spans="1:20" ht="20.100000000000001" customHeight="1" x14ac:dyDescent="0.25">
      <c r="A96" s="35">
        <v>96</v>
      </c>
      <c r="B96" s="58">
        <v>240081061</v>
      </c>
      <c r="C96" s="64"/>
      <c r="D96" s="3" t="s">
        <v>30</v>
      </c>
      <c r="E96" s="3"/>
      <c r="F96" s="3" t="s">
        <v>51</v>
      </c>
      <c r="G96" s="3" t="s">
        <v>148</v>
      </c>
      <c r="H96" s="3" t="s">
        <v>163</v>
      </c>
      <c r="I96" s="3" t="s">
        <v>152</v>
      </c>
      <c r="J96" s="3">
        <v>100</v>
      </c>
      <c r="K96" s="3" t="s">
        <v>166</v>
      </c>
      <c r="L96" s="3"/>
      <c r="M96" s="3"/>
      <c r="N96" s="3">
        <v>10045</v>
      </c>
      <c r="O96" s="12">
        <v>8879</v>
      </c>
      <c r="P96" s="4">
        <v>45591</v>
      </c>
      <c r="Q96" s="4">
        <v>45612</v>
      </c>
      <c r="R96" s="4"/>
      <c r="S96" s="3"/>
      <c r="T96" s="3" t="s">
        <v>234</v>
      </c>
    </row>
    <row r="97" spans="1:20" ht="20.100000000000001" customHeight="1" x14ac:dyDescent="0.25">
      <c r="A97" s="23">
        <v>97</v>
      </c>
      <c r="B97" s="59">
        <v>1718948</v>
      </c>
      <c r="C97" s="59">
        <v>1286883</v>
      </c>
      <c r="D97" s="5" t="s">
        <v>129</v>
      </c>
      <c r="E97" s="5" t="s">
        <v>250</v>
      </c>
      <c r="F97" s="5" t="s">
        <v>7</v>
      </c>
      <c r="G97" s="5" t="s">
        <v>148</v>
      </c>
      <c r="H97" s="5" t="s">
        <v>163</v>
      </c>
      <c r="I97" s="5" t="s">
        <v>152</v>
      </c>
      <c r="J97" s="5">
        <v>90</v>
      </c>
      <c r="K97" s="5" t="s">
        <v>166</v>
      </c>
      <c r="L97" s="5"/>
      <c r="M97" s="5"/>
      <c r="N97" s="5">
        <v>11649</v>
      </c>
      <c r="O97" s="6">
        <v>11749</v>
      </c>
      <c r="P97" s="7">
        <v>45591</v>
      </c>
      <c r="Q97" s="7">
        <v>45606</v>
      </c>
      <c r="R97" s="7">
        <v>45614</v>
      </c>
      <c r="S97" s="5" t="s">
        <v>197</v>
      </c>
      <c r="T97" s="5" t="s">
        <v>196</v>
      </c>
    </row>
    <row r="98" spans="1:20" ht="20.100000000000001" customHeight="1" x14ac:dyDescent="0.25">
      <c r="A98" s="23">
        <v>98</v>
      </c>
      <c r="B98" s="59">
        <v>1718949</v>
      </c>
      <c r="C98" s="59">
        <v>1286883</v>
      </c>
      <c r="D98" s="5" t="s">
        <v>129</v>
      </c>
      <c r="E98" s="5" t="s">
        <v>250</v>
      </c>
      <c r="F98" s="5" t="s">
        <v>7</v>
      </c>
      <c r="G98" s="5" t="s">
        <v>148</v>
      </c>
      <c r="H98" s="5" t="s">
        <v>163</v>
      </c>
      <c r="I98" s="5" t="s">
        <v>152</v>
      </c>
      <c r="J98" s="5">
        <v>90</v>
      </c>
      <c r="K98" s="5" t="s">
        <v>166</v>
      </c>
      <c r="L98" s="5"/>
      <c r="M98" s="5"/>
      <c r="N98" s="5">
        <v>11649</v>
      </c>
      <c r="O98" s="6">
        <v>11749</v>
      </c>
      <c r="P98" s="7">
        <v>45591</v>
      </c>
      <c r="Q98" s="7">
        <v>45606</v>
      </c>
      <c r="R98" s="7">
        <v>45614</v>
      </c>
      <c r="S98" s="5" t="s">
        <v>197</v>
      </c>
      <c r="T98" s="5" t="s">
        <v>196</v>
      </c>
    </row>
    <row r="99" spans="1:20" ht="20.100000000000001" customHeight="1" x14ac:dyDescent="0.3">
      <c r="A99" s="23">
        <v>99</v>
      </c>
      <c r="B99" s="62"/>
      <c r="C99" s="62"/>
      <c r="D99" s="5" t="s">
        <v>251</v>
      </c>
      <c r="E99" s="5" t="s">
        <v>105</v>
      </c>
      <c r="F99" s="5" t="s">
        <v>252</v>
      </c>
      <c r="G99" s="5" t="s">
        <v>148</v>
      </c>
      <c r="H99" s="5" t="s">
        <v>151</v>
      </c>
      <c r="I99" s="5" t="s">
        <v>154</v>
      </c>
      <c r="J99" s="5">
        <v>100</v>
      </c>
      <c r="K99" s="5" t="s">
        <v>165</v>
      </c>
      <c r="L99" s="5"/>
      <c r="M99" s="5"/>
      <c r="N99" s="5" t="s">
        <v>253</v>
      </c>
      <c r="O99" s="6">
        <v>4800</v>
      </c>
      <c r="P99" s="7">
        <v>45593</v>
      </c>
      <c r="Q99" s="7">
        <v>45607</v>
      </c>
      <c r="R99" s="7">
        <v>45617</v>
      </c>
      <c r="S99" s="5" t="s">
        <v>197</v>
      </c>
      <c r="T99" s="5" t="s">
        <v>196</v>
      </c>
    </row>
    <row r="100" spans="1:20" ht="20.100000000000001" customHeight="1" x14ac:dyDescent="0.3">
      <c r="A100" s="23">
        <v>100</v>
      </c>
      <c r="B100" s="62"/>
      <c r="C100" s="62"/>
      <c r="D100" s="5" t="s">
        <v>251</v>
      </c>
      <c r="E100" s="5" t="s">
        <v>105</v>
      </c>
      <c r="F100" s="5" t="s">
        <v>252</v>
      </c>
      <c r="G100" s="5" t="s">
        <v>148</v>
      </c>
      <c r="H100" s="5" t="s">
        <v>151</v>
      </c>
      <c r="I100" s="5" t="s">
        <v>154</v>
      </c>
      <c r="J100" s="5">
        <v>120</v>
      </c>
      <c r="K100" s="5" t="s">
        <v>165</v>
      </c>
      <c r="L100" s="5"/>
      <c r="M100" s="5"/>
      <c r="N100" s="5" t="s">
        <v>254</v>
      </c>
      <c r="O100" s="6">
        <v>4800</v>
      </c>
      <c r="P100" s="7">
        <v>45593</v>
      </c>
      <c r="Q100" s="7">
        <v>45607</v>
      </c>
      <c r="R100" s="7">
        <v>45617</v>
      </c>
      <c r="S100" s="5" t="s">
        <v>197</v>
      </c>
      <c r="T100" s="5" t="s">
        <v>196</v>
      </c>
    </row>
    <row r="101" spans="1:20" ht="20.100000000000001" customHeight="1" x14ac:dyDescent="0.25">
      <c r="A101" s="23">
        <v>101</v>
      </c>
      <c r="B101" s="59">
        <v>1744766</v>
      </c>
      <c r="C101" s="59">
        <v>1298738</v>
      </c>
      <c r="D101" s="5" t="s">
        <v>255</v>
      </c>
      <c r="E101" s="5" t="s">
        <v>262</v>
      </c>
      <c r="F101" s="5" t="s">
        <v>7</v>
      </c>
      <c r="G101" s="5" t="s">
        <v>148</v>
      </c>
      <c r="H101" s="5" t="s">
        <v>163</v>
      </c>
      <c r="I101" s="5" t="s">
        <v>153</v>
      </c>
      <c r="J101" s="5">
        <v>80</v>
      </c>
      <c r="K101" s="5" t="s">
        <v>165</v>
      </c>
      <c r="L101" s="5"/>
      <c r="M101" s="5"/>
      <c r="N101" s="5">
        <v>12099</v>
      </c>
      <c r="O101" s="6" t="s">
        <v>15</v>
      </c>
      <c r="P101" s="7">
        <v>45607</v>
      </c>
      <c r="Q101" s="7">
        <v>45622</v>
      </c>
      <c r="R101" s="7">
        <v>45623</v>
      </c>
      <c r="S101" s="5" t="s">
        <v>197</v>
      </c>
      <c r="T101" s="5" t="s">
        <v>196</v>
      </c>
    </row>
    <row r="102" spans="1:20" ht="20.100000000000001" customHeight="1" x14ac:dyDescent="0.25">
      <c r="A102" s="23">
        <v>102</v>
      </c>
      <c r="B102" s="59">
        <v>240082226</v>
      </c>
      <c r="C102" s="62"/>
      <c r="D102" s="5" t="s">
        <v>51</v>
      </c>
      <c r="E102" s="5" t="s">
        <v>222</v>
      </c>
      <c r="F102" s="5" t="s">
        <v>51</v>
      </c>
      <c r="G102" s="5" t="s">
        <v>203</v>
      </c>
      <c r="H102" s="5" t="s">
        <v>204</v>
      </c>
      <c r="I102" s="5" t="s">
        <v>256</v>
      </c>
      <c r="J102" s="5"/>
      <c r="K102" s="5" t="s">
        <v>205</v>
      </c>
      <c r="L102" s="5" t="s">
        <v>257</v>
      </c>
      <c r="M102" s="5"/>
      <c r="N102" s="5">
        <v>15872</v>
      </c>
      <c r="O102" s="6" t="s">
        <v>258</v>
      </c>
      <c r="P102" s="7">
        <v>45604</v>
      </c>
      <c r="Q102" s="5" t="s">
        <v>259</v>
      </c>
      <c r="R102" s="7">
        <v>45610</v>
      </c>
      <c r="S102" s="5" t="s">
        <v>197</v>
      </c>
      <c r="T102" s="5" t="s">
        <v>196</v>
      </c>
    </row>
    <row r="103" spans="1:20" ht="20.100000000000001" customHeight="1" x14ac:dyDescent="0.3">
      <c r="A103" s="23">
        <v>103</v>
      </c>
      <c r="B103" s="62" t="s">
        <v>260</v>
      </c>
      <c r="C103" s="62"/>
      <c r="D103" s="5" t="s">
        <v>261</v>
      </c>
      <c r="E103" s="5" t="s">
        <v>33</v>
      </c>
      <c r="F103" s="5" t="s">
        <v>261</v>
      </c>
      <c r="G103" s="5" t="s">
        <v>148</v>
      </c>
      <c r="H103" s="5" t="s">
        <v>151</v>
      </c>
      <c r="I103" s="5" t="s">
        <v>175</v>
      </c>
      <c r="J103" s="5">
        <v>120</v>
      </c>
      <c r="K103" s="5" t="s">
        <v>165</v>
      </c>
      <c r="L103" s="5"/>
      <c r="M103" s="5"/>
      <c r="N103" s="5">
        <v>4520</v>
      </c>
      <c r="O103" s="6" t="s">
        <v>83</v>
      </c>
      <c r="P103" s="7">
        <v>45606</v>
      </c>
      <c r="Q103" s="7">
        <v>45618</v>
      </c>
      <c r="R103" s="7">
        <v>45617</v>
      </c>
      <c r="S103" s="5" t="s">
        <v>197</v>
      </c>
      <c r="T103" s="5" t="s">
        <v>196</v>
      </c>
    </row>
    <row r="104" spans="1:20" ht="20.100000000000001" customHeight="1" x14ac:dyDescent="0.3">
      <c r="A104" s="23">
        <v>104</v>
      </c>
      <c r="B104" s="62" t="s">
        <v>263</v>
      </c>
      <c r="C104" s="62"/>
      <c r="D104" s="5" t="s">
        <v>81</v>
      </c>
      <c r="E104" s="5" t="s">
        <v>198</v>
      </c>
      <c r="F104" s="5" t="s">
        <v>55</v>
      </c>
      <c r="G104" s="5" t="s">
        <v>148</v>
      </c>
      <c r="H104" s="5" t="s">
        <v>163</v>
      </c>
      <c r="I104" s="5" t="s">
        <v>152</v>
      </c>
      <c r="J104" s="5">
        <v>90</v>
      </c>
      <c r="K104" s="5" t="s">
        <v>166</v>
      </c>
      <c r="L104" s="5"/>
      <c r="M104" s="5"/>
      <c r="N104" s="5">
        <v>5766</v>
      </c>
      <c r="O104" s="6" t="s">
        <v>83</v>
      </c>
      <c r="P104" s="7">
        <v>45608</v>
      </c>
      <c r="Q104" s="7">
        <v>45622</v>
      </c>
      <c r="R104" s="7">
        <v>45621</v>
      </c>
      <c r="S104" s="5" t="s">
        <v>197</v>
      </c>
      <c r="T104" s="5" t="s">
        <v>196</v>
      </c>
    </row>
    <row r="105" spans="1:20" ht="20.100000000000001" customHeight="1" x14ac:dyDescent="0.25">
      <c r="A105" s="23">
        <v>105</v>
      </c>
      <c r="B105" s="59">
        <v>1752544</v>
      </c>
      <c r="C105" s="59">
        <v>1302011</v>
      </c>
      <c r="D105" s="5" t="s">
        <v>264</v>
      </c>
      <c r="E105" s="5" t="s">
        <v>105</v>
      </c>
      <c r="F105" s="5" t="s">
        <v>7</v>
      </c>
      <c r="G105" s="5" t="s">
        <v>148</v>
      </c>
      <c r="H105" s="5" t="s">
        <v>151</v>
      </c>
      <c r="I105" s="5" t="s">
        <v>175</v>
      </c>
      <c r="J105" s="5">
        <v>160</v>
      </c>
      <c r="K105" s="5" t="s">
        <v>171</v>
      </c>
      <c r="L105" s="5"/>
      <c r="M105" s="5"/>
      <c r="N105" s="5">
        <v>11395</v>
      </c>
      <c r="O105" s="6" t="s">
        <v>15</v>
      </c>
      <c r="P105" s="7">
        <v>45608</v>
      </c>
      <c r="Q105" s="7">
        <v>45620</v>
      </c>
      <c r="R105" s="7">
        <v>45623</v>
      </c>
      <c r="S105" s="5" t="s">
        <v>197</v>
      </c>
      <c r="T105" s="5" t="s">
        <v>196</v>
      </c>
    </row>
    <row r="106" spans="1:20" ht="20.100000000000001" customHeight="1" x14ac:dyDescent="0.25">
      <c r="A106" s="23">
        <v>106</v>
      </c>
      <c r="B106" s="59">
        <v>1755075</v>
      </c>
      <c r="C106" s="59">
        <v>1303159</v>
      </c>
      <c r="D106" s="5" t="s">
        <v>265</v>
      </c>
      <c r="E106" s="5" t="s">
        <v>33</v>
      </c>
      <c r="F106" s="5" t="s">
        <v>7</v>
      </c>
      <c r="G106" s="5" t="s">
        <v>148</v>
      </c>
      <c r="H106" s="5" t="s">
        <v>163</v>
      </c>
      <c r="I106" s="5" t="s">
        <v>266</v>
      </c>
      <c r="J106" s="5">
        <v>80</v>
      </c>
      <c r="K106" s="5" t="s">
        <v>165</v>
      </c>
      <c r="L106" s="5"/>
      <c r="M106" s="5"/>
      <c r="N106" s="5">
        <v>12919</v>
      </c>
      <c r="O106" s="6" t="s">
        <v>15</v>
      </c>
      <c r="P106" s="7">
        <v>45610</v>
      </c>
      <c r="Q106" s="7">
        <v>45626</v>
      </c>
      <c r="R106" s="7">
        <v>45623</v>
      </c>
      <c r="S106" s="5" t="s">
        <v>197</v>
      </c>
      <c r="T106" s="5" t="s">
        <v>196</v>
      </c>
    </row>
    <row r="107" spans="1:20" ht="20.100000000000001" customHeight="1" x14ac:dyDescent="0.3">
      <c r="A107" s="23">
        <v>107</v>
      </c>
      <c r="B107" s="62" t="s">
        <v>267</v>
      </c>
      <c r="C107" s="62"/>
      <c r="D107" s="5" t="s">
        <v>81</v>
      </c>
      <c r="E107" s="5" t="s">
        <v>198</v>
      </c>
      <c r="F107" s="5" t="s">
        <v>55</v>
      </c>
      <c r="G107" s="5" t="s">
        <v>268</v>
      </c>
      <c r="H107" s="5" t="s">
        <v>163</v>
      </c>
      <c r="I107" s="5" t="s">
        <v>150</v>
      </c>
      <c r="J107" s="5">
        <v>120</v>
      </c>
      <c r="K107" s="5" t="s">
        <v>170</v>
      </c>
      <c r="L107" s="5"/>
      <c r="M107" s="5"/>
      <c r="N107" s="5">
        <v>6376</v>
      </c>
      <c r="O107" s="6" t="s">
        <v>83</v>
      </c>
      <c r="P107" s="7">
        <v>45610</v>
      </c>
      <c r="Q107" s="7">
        <v>45623</v>
      </c>
      <c r="R107" s="7">
        <v>45621</v>
      </c>
      <c r="S107" s="5" t="s">
        <v>197</v>
      </c>
      <c r="T107" s="5" t="s">
        <v>196</v>
      </c>
    </row>
    <row r="108" spans="1:20" ht="20.100000000000001" customHeight="1" x14ac:dyDescent="0.3">
      <c r="A108" s="23">
        <v>108</v>
      </c>
      <c r="B108" s="62" t="s">
        <v>269</v>
      </c>
      <c r="C108" s="62"/>
      <c r="D108" s="5" t="s">
        <v>81</v>
      </c>
      <c r="E108" s="5" t="s">
        <v>270</v>
      </c>
      <c r="F108" s="5" t="s">
        <v>55</v>
      </c>
      <c r="G108" s="5" t="s">
        <v>148</v>
      </c>
      <c r="H108" s="5" t="s">
        <v>271</v>
      </c>
      <c r="I108" s="5" t="s">
        <v>150</v>
      </c>
      <c r="J108" s="5">
        <v>90</v>
      </c>
      <c r="K108" s="5" t="s">
        <v>166</v>
      </c>
      <c r="L108" s="5"/>
      <c r="M108" s="5"/>
      <c r="N108" s="5">
        <v>5294</v>
      </c>
      <c r="O108" s="6" t="s">
        <v>83</v>
      </c>
      <c r="P108" s="7">
        <v>45610</v>
      </c>
      <c r="Q108" s="7">
        <v>45623</v>
      </c>
      <c r="R108" s="7">
        <v>45621</v>
      </c>
      <c r="S108" s="5" t="s">
        <v>197</v>
      </c>
      <c r="T108" s="5" t="s">
        <v>196</v>
      </c>
    </row>
    <row r="109" spans="1:20" ht="20.100000000000001" customHeight="1" x14ac:dyDescent="0.25">
      <c r="A109" s="23">
        <v>109</v>
      </c>
      <c r="B109" s="59">
        <v>265453625</v>
      </c>
      <c r="C109" s="62"/>
      <c r="D109" s="5" t="s">
        <v>273</v>
      </c>
      <c r="E109" s="5" t="s">
        <v>38</v>
      </c>
      <c r="F109" s="5" t="s">
        <v>274</v>
      </c>
      <c r="G109" s="5" t="s">
        <v>268</v>
      </c>
      <c r="H109" s="5" t="s">
        <v>271</v>
      </c>
      <c r="I109" s="5" t="s">
        <v>275</v>
      </c>
      <c r="J109" s="5">
        <v>80</v>
      </c>
      <c r="K109" s="5" t="s">
        <v>165</v>
      </c>
      <c r="L109" s="5"/>
      <c r="M109" s="5"/>
      <c r="N109" s="5">
        <v>7396</v>
      </c>
      <c r="O109" s="6" t="s">
        <v>15</v>
      </c>
      <c r="P109" s="7">
        <v>45613</v>
      </c>
      <c r="Q109" s="7">
        <v>45624</v>
      </c>
      <c r="R109" s="7">
        <v>45622</v>
      </c>
      <c r="S109" s="5" t="s">
        <v>197</v>
      </c>
      <c r="T109" s="5" t="s">
        <v>196</v>
      </c>
    </row>
    <row r="110" spans="1:20" ht="20.100000000000001" customHeight="1" x14ac:dyDescent="0.25">
      <c r="A110" s="23">
        <v>110</v>
      </c>
      <c r="B110" s="59">
        <v>1762617</v>
      </c>
      <c r="C110" s="59">
        <v>1306879</v>
      </c>
      <c r="D110" s="5" t="s">
        <v>129</v>
      </c>
      <c r="E110" s="5" t="s">
        <v>276</v>
      </c>
      <c r="F110" s="5" t="s">
        <v>7</v>
      </c>
      <c r="G110" s="5" t="s">
        <v>148</v>
      </c>
      <c r="H110" s="5" t="s">
        <v>163</v>
      </c>
      <c r="I110" s="5" t="s">
        <v>152</v>
      </c>
      <c r="J110" s="5">
        <v>90</v>
      </c>
      <c r="K110" s="5" t="s">
        <v>166</v>
      </c>
      <c r="L110" s="5"/>
      <c r="M110" s="5"/>
      <c r="N110" s="5">
        <v>13439</v>
      </c>
      <c r="O110" s="6">
        <v>13575</v>
      </c>
      <c r="P110" s="7">
        <v>45616</v>
      </c>
      <c r="Q110" s="7">
        <v>45631</v>
      </c>
      <c r="R110" s="7">
        <v>45622</v>
      </c>
      <c r="S110" s="5" t="s">
        <v>197</v>
      </c>
      <c r="T110" s="5" t="s">
        <v>196</v>
      </c>
    </row>
    <row r="111" spans="1:20" ht="20.100000000000001" customHeight="1" x14ac:dyDescent="0.3">
      <c r="A111" s="49">
        <v>111</v>
      </c>
      <c r="B111" s="66"/>
      <c r="C111" s="66"/>
      <c r="D111" s="29" t="s">
        <v>40</v>
      </c>
      <c r="E111" s="29" t="s">
        <v>45</v>
      </c>
      <c r="F111" s="29" t="s">
        <v>40</v>
      </c>
      <c r="G111" s="29" t="s">
        <v>148</v>
      </c>
      <c r="H111" s="29" t="s">
        <v>277</v>
      </c>
      <c r="I111" s="29" t="s">
        <v>278</v>
      </c>
      <c r="J111" s="29">
        <v>160</v>
      </c>
      <c r="K111" s="29" t="s">
        <v>166</v>
      </c>
      <c r="L111" s="29"/>
      <c r="M111" s="29"/>
      <c r="N111" s="29">
        <v>5100</v>
      </c>
      <c r="O111" s="43" t="s">
        <v>83</v>
      </c>
      <c r="P111" s="44">
        <v>45610</v>
      </c>
      <c r="Q111" s="44">
        <v>45634</v>
      </c>
      <c r="R111" s="29"/>
      <c r="S111" s="29"/>
      <c r="T111" s="45"/>
    </row>
    <row r="112" spans="1:20" ht="20.100000000000001" customHeight="1" x14ac:dyDescent="0.3">
      <c r="A112" s="23">
        <v>112</v>
      </c>
      <c r="B112" s="62"/>
      <c r="C112" s="62"/>
      <c r="D112" s="5" t="s">
        <v>279</v>
      </c>
      <c r="E112" s="5" t="s">
        <v>48</v>
      </c>
      <c r="F112" s="5" t="s">
        <v>280</v>
      </c>
      <c r="G112" s="5" t="s">
        <v>268</v>
      </c>
      <c r="H112" s="5" t="s">
        <v>151</v>
      </c>
      <c r="I112" s="5" t="s">
        <v>281</v>
      </c>
      <c r="J112" s="5">
        <v>160</v>
      </c>
      <c r="K112" s="5" t="s">
        <v>174</v>
      </c>
      <c r="L112" s="5" t="s">
        <v>165</v>
      </c>
      <c r="M112" s="5"/>
      <c r="N112" s="5" t="s">
        <v>282</v>
      </c>
      <c r="O112" s="6">
        <v>5800</v>
      </c>
      <c r="P112" s="7">
        <v>45618</v>
      </c>
      <c r="Q112" s="7">
        <v>45628</v>
      </c>
      <c r="R112" s="7">
        <v>45623</v>
      </c>
      <c r="S112" s="5" t="s">
        <v>197</v>
      </c>
      <c r="T112" s="5" t="s">
        <v>196</v>
      </c>
    </row>
    <row r="113" spans="1:20" ht="20.100000000000001" customHeight="1" x14ac:dyDescent="0.25">
      <c r="A113" s="23">
        <v>113</v>
      </c>
      <c r="B113" s="59">
        <v>1765451</v>
      </c>
      <c r="C113" s="59">
        <v>1308241</v>
      </c>
      <c r="D113" s="5" t="s">
        <v>283</v>
      </c>
      <c r="E113" s="5" t="s">
        <v>284</v>
      </c>
      <c r="F113" s="5" t="s">
        <v>7</v>
      </c>
      <c r="G113" s="5" t="s">
        <v>148</v>
      </c>
      <c r="H113" s="5" t="s">
        <v>277</v>
      </c>
      <c r="I113" s="5" t="s">
        <v>285</v>
      </c>
      <c r="J113" s="5">
        <v>120</v>
      </c>
      <c r="K113" s="5" t="s">
        <v>170</v>
      </c>
      <c r="L113" s="5"/>
      <c r="M113" s="5"/>
      <c r="N113" s="5">
        <v>10885</v>
      </c>
      <c r="O113" s="6">
        <v>7965</v>
      </c>
      <c r="P113" s="7">
        <v>45620</v>
      </c>
      <c r="Q113" s="7">
        <v>45631</v>
      </c>
      <c r="R113" s="7">
        <v>45636</v>
      </c>
      <c r="S113" s="5" t="s">
        <v>197</v>
      </c>
      <c r="T113" s="5" t="s">
        <v>196</v>
      </c>
    </row>
    <row r="114" spans="1:20" ht="20.100000000000001" customHeight="1" x14ac:dyDescent="0.3">
      <c r="A114" s="23">
        <v>114</v>
      </c>
      <c r="B114" s="62"/>
      <c r="C114" s="62"/>
      <c r="D114" s="5" t="s">
        <v>40</v>
      </c>
      <c r="E114" s="5" t="s">
        <v>45</v>
      </c>
      <c r="F114" s="5" t="s">
        <v>42</v>
      </c>
      <c r="G114" s="5" t="s">
        <v>203</v>
      </c>
      <c r="H114" s="5" t="s">
        <v>286</v>
      </c>
      <c r="I114" s="5" t="s">
        <v>286</v>
      </c>
      <c r="J114" s="5"/>
      <c r="K114" s="5"/>
      <c r="L114" s="5"/>
      <c r="M114" s="5"/>
      <c r="N114" s="5">
        <v>6000</v>
      </c>
      <c r="O114" s="6">
        <v>6000</v>
      </c>
      <c r="P114" s="7">
        <v>45615</v>
      </c>
      <c r="Q114" s="7">
        <v>45631</v>
      </c>
      <c r="R114" s="7">
        <v>45616</v>
      </c>
      <c r="S114" s="5" t="s">
        <v>287</v>
      </c>
      <c r="T114" s="5" t="s">
        <v>196</v>
      </c>
    </row>
    <row r="115" spans="1:20" ht="20.100000000000001" customHeight="1" x14ac:dyDescent="0.25">
      <c r="A115" s="23">
        <v>115</v>
      </c>
      <c r="B115" s="59">
        <v>1782674</v>
      </c>
      <c r="C115" s="62">
        <v>1315860</v>
      </c>
      <c r="D115" s="5" t="s">
        <v>288</v>
      </c>
      <c r="E115" s="5" t="s">
        <v>289</v>
      </c>
      <c r="F115" s="5" t="s">
        <v>7</v>
      </c>
      <c r="G115" s="5" t="s">
        <v>290</v>
      </c>
      <c r="H115" s="5"/>
      <c r="I115" s="5" t="s">
        <v>291</v>
      </c>
      <c r="J115" s="5"/>
      <c r="K115" s="5"/>
      <c r="L115" s="5"/>
      <c r="M115" s="5"/>
      <c r="N115" s="5">
        <v>8449</v>
      </c>
      <c r="O115" s="6" t="s">
        <v>15</v>
      </c>
      <c r="P115" s="7">
        <v>45623</v>
      </c>
      <c r="Q115" s="7">
        <v>45636</v>
      </c>
      <c r="R115" s="7">
        <v>45649</v>
      </c>
      <c r="S115" s="5" t="s">
        <v>27</v>
      </c>
      <c r="T115" s="36" t="s">
        <v>196</v>
      </c>
    </row>
    <row r="116" spans="1:20" ht="20.100000000000001" customHeight="1" x14ac:dyDescent="0.25">
      <c r="A116" s="23">
        <v>116</v>
      </c>
      <c r="B116" s="62">
        <v>1781530</v>
      </c>
      <c r="C116" s="59">
        <v>1315450</v>
      </c>
      <c r="D116" s="5" t="s">
        <v>292</v>
      </c>
      <c r="E116" s="5" t="s">
        <v>58</v>
      </c>
      <c r="F116" s="5" t="s">
        <v>7</v>
      </c>
      <c r="G116" s="5" t="s">
        <v>290</v>
      </c>
      <c r="H116" s="5" t="s">
        <v>293</v>
      </c>
      <c r="I116" s="5" t="s">
        <v>294</v>
      </c>
      <c r="J116" s="5"/>
      <c r="K116" s="5" t="s">
        <v>165</v>
      </c>
      <c r="L116" s="5" t="s">
        <v>295</v>
      </c>
      <c r="M116" s="5"/>
      <c r="N116" s="5">
        <v>10249</v>
      </c>
      <c r="O116" s="6">
        <v>6211</v>
      </c>
      <c r="P116" s="7">
        <v>45623</v>
      </c>
      <c r="Q116" s="7">
        <v>45636</v>
      </c>
      <c r="R116" s="7">
        <v>45645</v>
      </c>
      <c r="S116" s="5" t="s">
        <v>197</v>
      </c>
      <c r="T116" s="5" t="s">
        <v>196</v>
      </c>
    </row>
    <row r="117" spans="1:20" ht="20.100000000000001" customHeight="1" x14ac:dyDescent="0.3">
      <c r="A117" s="35">
        <v>117</v>
      </c>
      <c r="B117" s="64">
        <v>1795447</v>
      </c>
      <c r="C117" s="64">
        <v>1321584</v>
      </c>
      <c r="D117" s="3" t="s">
        <v>296</v>
      </c>
      <c r="E117" s="3" t="s">
        <v>297</v>
      </c>
      <c r="F117" s="3" t="s">
        <v>7</v>
      </c>
      <c r="G117" s="3" t="s">
        <v>148</v>
      </c>
      <c r="H117" s="3" t="s">
        <v>163</v>
      </c>
      <c r="I117" s="3" t="s">
        <v>153</v>
      </c>
      <c r="J117" s="3">
        <v>100</v>
      </c>
      <c r="K117" s="3" t="s">
        <v>166</v>
      </c>
      <c r="L117" s="3"/>
      <c r="M117" s="3"/>
      <c r="N117" s="3">
        <v>14905</v>
      </c>
      <c r="O117" s="12" t="s">
        <v>15</v>
      </c>
      <c r="P117" s="4">
        <v>45625</v>
      </c>
      <c r="Q117" s="4">
        <v>45641</v>
      </c>
      <c r="R117" s="3"/>
      <c r="S117" s="3" t="s">
        <v>317</v>
      </c>
      <c r="T117" s="46" t="s">
        <v>234</v>
      </c>
    </row>
    <row r="118" spans="1:20" ht="20.100000000000001" customHeight="1" x14ac:dyDescent="0.25">
      <c r="A118" s="35">
        <v>118</v>
      </c>
      <c r="B118" s="58">
        <v>1808440</v>
      </c>
      <c r="C118" s="58">
        <v>1327172</v>
      </c>
      <c r="D118" s="3" t="s">
        <v>298</v>
      </c>
      <c r="E118" s="3" t="s">
        <v>66</v>
      </c>
      <c r="F118" s="3" t="s">
        <v>7</v>
      </c>
      <c r="G118" s="3" t="s">
        <v>299</v>
      </c>
      <c r="H118" s="3" t="s">
        <v>293</v>
      </c>
      <c r="I118" s="3" t="s">
        <v>294</v>
      </c>
      <c r="J118" s="3"/>
      <c r="K118" s="3" t="s">
        <v>205</v>
      </c>
      <c r="L118" s="3" t="s">
        <v>300</v>
      </c>
      <c r="M118" s="3"/>
      <c r="N118" s="3">
        <v>10249</v>
      </c>
      <c r="O118" s="12" t="s">
        <v>15</v>
      </c>
      <c r="P118" s="4">
        <v>45626</v>
      </c>
      <c r="Q118" s="4">
        <v>45638</v>
      </c>
      <c r="R118" s="3"/>
      <c r="S118" s="3"/>
      <c r="T118" s="46" t="s">
        <v>234</v>
      </c>
    </row>
    <row r="119" spans="1:20" ht="20.100000000000001" customHeight="1" x14ac:dyDescent="0.25">
      <c r="A119" s="35">
        <v>119</v>
      </c>
      <c r="B119" s="64">
        <v>1808441</v>
      </c>
      <c r="C119" s="58">
        <v>1327172</v>
      </c>
      <c r="D119" s="3" t="s">
        <v>301</v>
      </c>
      <c r="E119" s="3" t="s">
        <v>66</v>
      </c>
      <c r="F119" s="3" t="s">
        <v>302</v>
      </c>
      <c r="G119" s="3" t="s">
        <v>299</v>
      </c>
      <c r="H119" s="3" t="s">
        <v>187</v>
      </c>
      <c r="I119" s="3"/>
      <c r="J119" s="3"/>
      <c r="K119" s="3" t="s">
        <v>166</v>
      </c>
      <c r="L119" s="3" t="s">
        <v>303</v>
      </c>
      <c r="M119" s="3"/>
      <c r="N119" s="3">
        <v>9029</v>
      </c>
      <c r="O119" s="12" t="s">
        <v>15</v>
      </c>
      <c r="P119" s="4">
        <v>45626</v>
      </c>
      <c r="Q119" s="4">
        <v>45638</v>
      </c>
      <c r="R119" s="3"/>
      <c r="S119" s="3"/>
      <c r="T119" s="46" t="s">
        <v>234</v>
      </c>
    </row>
    <row r="120" spans="1:20" ht="20.100000000000001" customHeight="1" x14ac:dyDescent="0.25">
      <c r="A120" s="49">
        <v>120</v>
      </c>
      <c r="B120" s="60">
        <v>1805052</v>
      </c>
      <c r="C120" s="60">
        <v>1325637</v>
      </c>
      <c r="D120" s="29" t="s">
        <v>304</v>
      </c>
      <c r="E120" s="29" t="s">
        <v>142</v>
      </c>
      <c r="F120" s="29" t="s">
        <v>302</v>
      </c>
      <c r="G120" s="29" t="s">
        <v>290</v>
      </c>
      <c r="H120" s="29" t="s">
        <v>305</v>
      </c>
      <c r="I120" s="29"/>
      <c r="J120" s="29"/>
      <c r="K120" s="29" t="s">
        <v>205</v>
      </c>
      <c r="L120" s="29" t="s">
        <v>306</v>
      </c>
      <c r="M120" s="29"/>
      <c r="N120" s="29">
        <v>9029</v>
      </c>
      <c r="O120" s="43" t="s">
        <v>15</v>
      </c>
      <c r="P120" s="44">
        <v>45626</v>
      </c>
      <c r="Q120" s="44">
        <v>45638</v>
      </c>
      <c r="R120" s="29"/>
      <c r="S120" s="29"/>
      <c r="T120" s="45"/>
    </row>
    <row r="121" spans="1:20" ht="20.100000000000001" customHeight="1" x14ac:dyDescent="0.25">
      <c r="A121" s="35">
        <v>121</v>
      </c>
      <c r="B121" s="58">
        <v>1813823</v>
      </c>
      <c r="C121" s="58">
        <v>1329646</v>
      </c>
      <c r="D121" s="3" t="s">
        <v>307</v>
      </c>
      <c r="E121" s="3" t="s">
        <v>308</v>
      </c>
      <c r="F121" s="3" t="s">
        <v>7</v>
      </c>
      <c r="G121" s="3" t="s">
        <v>148</v>
      </c>
      <c r="H121" s="3" t="s">
        <v>271</v>
      </c>
      <c r="I121" s="3" t="s">
        <v>150</v>
      </c>
      <c r="J121" s="47">
        <v>80</v>
      </c>
      <c r="K121" s="3" t="s">
        <v>165</v>
      </c>
      <c r="L121" s="3"/>
      <c r="M121" s="3"/>
      <c r="N121" s="3">
        <v>12099</v>
      </c>
      <c r="O121" s="12" t="s">
        <v>15</v>
      </c>
      <c r="P121" s="4">
        <v>45628</v>
      </c>
      <c r="Q121" s="4">
        <v>45643</v>
      </c>
      <c r="R121" s="3"/>
      <c r="S121" s="3"/>
      <c r="T121" s="46" t="s">
        <v>234</v>
      </c>
    </row>
    <row r="122" spans="1:20" ht="20.100000000000001" customHeight="1" x14ac:dyDescent="0.3">
      <c r="A122" s="23">
        <v>122</v>
      </c>
      <c r="B122" s="62" t="s">
        <v>309</v>
      </c>
      <c r="C122" s="62"/>
      <c r="D122" s="5" t="s">
        <v>81</v>
      </c>
      <c r="E122" s="5" t="s">
        <v>198</v>
      </c>
      <c r="F122" s="5" t="s">
        <v>55</v>
      </c>
      <c r="G122" s="5" t="s">
        <v>148</v>
      </c>
      <c r="H122" s="5" t="s">
        <v>271</v>
      </c>
      <c r="I122" s="5" t="s">
        <v>275</v>
      </c>
      <c r="J122" s="40">
        <v>90</v>
      </c>
      <c r="K122" s="5" t="s">
        <v>168</v>
      </c>
      <c r="L122" s="5"/>
      <c r="M122" s="5"/>
      <c r="N122" s="5">
        <v>5217</v>
      </c>
      <c r="O122" s="6" t="s">
        <v>83</v>
      </c>
      <c r="P122" s="7">
        <v>45627</v>
      </c>
      <c r="Q122" s="7">
        <v>45640</v>
      </c>
      <c r="R122" s="7">
        <v>45636</v>
      </c>
      <c r="S122" s="5" t="s">
        <v>197</v>
      </c>
      <c r="T122" s="5" t="s">
        <v>196</v>
      </c>
    </row>
    <row r="123" spans="1:20" ht="20.100000000000001" customHeight="1" x14ac:dyDescent="0.25">
      <c r="A123" s="23">
        <v>123</v>
      </c>
      <c r="B123" s="59">
        <v>1810950</v>
      </c>
      <c r="C123" s="59">
        <v>1328141</v>
      </c>
      <c r="D123" s="5" t="s">
        <v>310</v>
      </c>
      <c r="E123" s="5" t="s">
        <v>133</v>
      </c>
      <c r="F123" s="5" t="s">
        <v>7</v>
      </c>
      <c r="G123" s="5" t="s">
        <v>268</v>
      </c>
      <c r="H123" s="5" t="s">
        <v>149</v>
      </c>
      <c r="I123" s="5"/>
      <c r="J123" s="5"/>
      <c r="K123" s="5" t="s">
        <v>166</v>
      </c>
      <c r="L123" s="5" t="s">
        <v>166</v>
      </c>
      <c r="M123" s="5"/>
      <c r="N123" s="5">
        <v>10249</v>
      </c>
      <c r="O123" s="6">
        <v>6211</v>
      </c>
      <c r="P123" s="7">
        <v>45630</v>
      </c>
      <c r="Q123" s="7">
        <v>45640</v>
      </c>
      <c r="R123" s="7">
        <v>45645</v>
      </c>
      <c r="S123" s="5" t="s">
        <v>197</v>
      </c>
      <c r="T123" s="5" t="s">
        <v>196</v>
      </c>
    </row>
    <row r="124" spans="1:20" ht="20.100000000000001" customHeight="1" x14ac:dyDescent="0.25">
      <c r="A124" s="23">
        <v>124</v>
      </c>
      <c r="B124" s="59">
        <v>240085463</v>
      </c>
      <c r="C124" s="62"/>
      <c r="D124" s="5" t="s">
        <v>311</v>
      </c>
      <c r="E124" s="5" t="s">
        <v>312</v>
      </c>
      <c r="F124" s="5" t="s">
        <v>51</v>
      </c>
      <c r="G124" s="5" t="s">
        <v>148</v>
      </c>
      <c r="H124" s="5" t="s">
        <v>163</v>
      </c>
      <c r="I124" s="5" t="s">
        <v>152</v>
      </c>
      <c r="J124" s="5"/>
      <c r="K124" s="5" t="s">
        <v>166</v>
      </c>
      <c r="L124" s="5"/>
      <c r="M124" s="5"/>
      <c r="N124" s="5">
        <v>10445</v>
      </c>
      <c r="O124" s="6">
        <v>7707</v>
      </c>
      <c r="P124" s="7">
        <v>45635</v>
      </c>
      <c r="Q124" s="7">
        <v>45657</v>
      </c>
      <c r="R124" s="7">
        <v>45638</v>
      </c>
      <c r="S124" s="5" t="s">
        <v>197</v>
      </c>
      <c r="T124" s="5" t="s">
        <v>196</v>
      </c>
    </row>
    <row r="125" spans="1:20" ht="20.100000000000001" customHeight="1" x14ac:dyDescent="0.25">
      <c r="A125" s="23">
        <v>125</v>
      </c>
      <c r="B125" s="59">
        <v>1818591</v>
      </c>
      <c r="C125" s="59">
        <v>1332300</v>
      </c>
      <c r="D125" s="5" t="s">
        <v>313</v>
      </c>
      <c r="E125" s="5" t="s">
        <v>66</v>
      </c>
      <c r="F125" s="5" t="s">
        <v>7</v>
      </c>
      <c r="G125" s="5" t="s">
        <v>290</v>
      </c>
      <c r="H125" s="5" t="s">
        <v>314</v>
      </c>
      <c r="I125" s="5" t="s">
        <v>294</v>
      </c>
      <c r="J125" s="5"/>
      <c r="K125" s="5" t="s">
        <v>205</v>
      </c>
      <c r="L125" s="5" t="s">
        <v>300</v>
      </c>
      <c r="M125" s="5"/>
      <c r="N125" s="5">
        <v>11199</v>
      </c>
      <c r="O125" s="6">
        <v>11257</v>
      </c>
      <c r="P125" s="7">
        <v>45638</v>
      </c>
      <c r="Q125" s="7">
        <v>45650</v>
      </c>
      <c r="R125" s="7">
        <v>45645</v>
      </c>
      <c r="S125" s="5" t="s">
        <v>197</v>
      </c>
      <c r="T125" s="5" t="s">
        <v>196</v>
      </c>
    </row>
    <row r="126" spans="1:20" ht="20.100000000000001" customHeight="1" x14ac:dyDescent="0.3">
      <c r="A126" s="23">
        <v>126</v>
      </c>
      <c r="B126" s="62">
        <v>1818396</v>
      </c>
      <c r="C126" s="62">
        <v>1332179</v>
      </c>
      <c r="D126" s="5" t="s">
        <v>315</v>
      </c>
      <c r="E126" s="5" t="s">
        <v>276</v>
      </c>
      <c r="F126" s="5" t="s">
        <v>7</v>
      </c>
      <c r="G126" s="5" t="s">
        <v>268</v>
      </c>
      <c r="H126" s="5" t="s">
        <v>163</v>
      </c>
      <c r="I126" s="5" t="s">
        <v>150</v>
      </c>
      <c r="J126" s="5">
        <v>80</v>
      </c>
      <c r="K126" s="5" t="s">
        <v>166</v>
      </c>
      <c r="L126" s="5"/>
      <c r="M126" s="5"/>
      <c r="N126" s="5">
        <v>13099</v>
      </c>
      <c r="O126" s="6">
        <v>13231</v>
      </c>
      <c r="P126" s="7">
        <v>45638</v>
      </c>
      <c r="Q126" s="7">
        <v>45654</v>
      </c>
      <c r="R126" s="7">
        <v>45655</v>
      </c>
      <c r="S126" s="5" t="s">
        <v>197</v>
      </c>
      <c r="T126" s="5" t="s">
        <v>196</v>
      </c>
    </row>
    <row r="127" spans="1:20" ht="20.100000000000001" customHeight="1" x14ac:dyDescent="0.25">
      <c r="A127" s="23">
        <v>127</v>
      </c>
      <c r="B127" s="59">
        <v>240085758</v>
      </c>
      <c r="C127" s="62"/>
      <c r="D127" s="5" t="s">
        <v>51</v>
      </c>
      <c r="E127" s="5" t="s">
        <v>222</v>
      </c>
      <c r="F127" s="5" t="s">
        <v>51</v>
      </c>
      <c r="G127" s="5" t="s">
        <v>203</v>
      </c>
      <c r="H127" s="5" t="s">
        <v>204</v>
      </c>
      <c r="I127" s="5" t="s">
        <v>256</v>
      </c>
      <c r="J127" s="5"/>
      <c r="K127" s="5" t="s">
        <v>205</v>
      </c>
      <c r="L127" s="5" t="s">
        <v>316</v>
      </c>
      <c r="M127" s="5"/>
      <c r="N127" s="5">
        <v>8700</v>
      </c>
      <c r="O127" s="6" t="s">
        <v>83</v>
      </c>
      <c r="P127" s="7">
        <v>45640</v>
      </c>
      <c r="Q127" s="7">
        <v>45662</v>
      </c>
      <c r="R127" s="7">
        <v>45655</v>
      </c>
      <c r="S127" s="5" t="s">
        <v>197</v>
      </c>
      <c r="T127" s="5" t="s">
        <v>196</v>
      </c>
    </row>
    <row r="128" spans="1:20" ht="20.100000000000001" customHeight="1" x14ac:dyDescent="0.3">
      <c r="A128" s="2"/>
      <c r="B128" s="2"/>
      <c r="C128" s="2"/>
      <c r="D128" s="2"/>
      <c r="E128" s="2"/>
      <c r="F128" s="2"/>
      <c r="G128" s="2"/>
      <c r="H128" s="2"/>
      <c r="I128" s="2"/>
      <c r="J128" s="2"/>
      <c r="K128" s="2"/>
      <c r="L128" s="2"/>
      <c r="M128" s="2"/>
      <c r="N128" s="2"/>
      <c r="O128" s="25"/>
      <c r="P128" s="2"/>
      <c r="Q128" s="2"/>
      <c r="R128" s="2"/>
      <c r="S128" s="2"/>
      <c r="T128" s="26"/>
    </row>
    <row r="129" spans="1:20" ht="20.100000000000001" customHeight="1" x14ac:dyDescent="0.3">
      <c r="A129" s="2"/>
      <c r="B129" s="2"/>
      <c r="C129" s="2"/>
      <c r="D129" s="2"/>
      <c r="E129" s="2"/>
      <c r="F129" s="2"/>
      <c r="G129" s="2"/>
      <c r="H129" s="2"/>
      <c r="I129" s="2"/>
      <c r="J129" s="2"/>
      <c r="K129" s="2"/>
      <c r="L129" s="2"/>
      <c r="M129" s="2"/>
      <c r="N129" s="2"/>
      <c r="O129" s="25"/>
      <c r="P129" s="2"/>
      <c r="Q129" s="2"/>
      <c r="R129" s="2"/>
      <c r="S129" s="2"/>
      <c r="T129" s="26"/>
    </row>
    <row r="130" spans="1:20" ht="20.100000000000001" customHeight="1" x14ac:dyDescent="0.3">
      <c r="A130" s="2"/>
      <c r="B130" s="2"/>
      <c r="C130" s="2"/>
      <c r="D130" s="2"/>
      <c r="E130" s="2"/>
      <c r="F130" s="2"/>
      <c r="G130" s="2"/>
      <c r="H130" s="2"/>
      <c r="I130" s="2"/>
      <c r="J130" s="2"/>
      <c r="K130" s="2"/>
      <c r="L130" s="2"/>
      <c r="M130" s="2"/>
      <c r="N130" s="2"/>
      <c r="O130" s="25"/>
      <c r="P130" s="2"/>
      <c r="Q130" s="2"/>
      <c r="R130" s="2"/>
      <c r="S130" s="2"/>
      <c r="T130" s="26"/>
    </row>
    <row r="131" spans="1:20" ht="20.100000000000001" customHeight="1" x14ac:dyDescent="0.3">
      <c r="A131" s="2"/>
      <c r="B131" s="2"/>
      <c r="C131" s="2"/>
      <c r="D131" s="2"/>
      <c r="E131" s="2"/>
      <c r="F131" s="2"/>
      <c r="G131" s="2"/>
      <c r="H131" s="2"/>
      <c r="I131" s="2"/>
      <c r="J131" s="2"/>
      <c r="K131" s="2"/>
      <c r="L131" s="2"/>
      <c r="M131" s="2"/>
      <c r="N131" s="2"/>
      <c r="O131" s="25"/>
      <c r="P131" s="2"/>
      <c r="Q131" s="2"/>
      <c r="R131" s="2"/>
      <c r="S131" s="2"/>
      <c r="T131" s="26"/>
    </row>
    <row r="132" spans="1:20" ht="20.100000000000001" customHeight="1" x14ac:dyDescent="0.3">
      <c r="A132" s="2"/>
      <c r="B132" s="2"/>
      <c r="C132" s="2"/>
      <c r="D132" s="2"/>
      <c r="E132" s="2"/>
      <c r="F132" s="2"/>
      <c r="G132" s="2"/>
      <c r="H132" s="2"/>
      <c r="I132" s="2"/>
      <c r="J132" s="2"/>
      <c r="K132" s="2"/>
      <c r="L132" s="2"/>
      <c r="M132" s="2"/>
      <c r="N132" s="2"/>
      <c r="O132" s="25"/>
      <c r="P132" s="2"/>
      <c r="Q132" s="2"/>
      <c r="R132" s="2"/>
      <c r="S132" s="2"/>
      <c r="T132" s="26"/>
    </row>
    <row r="133" spans="1:20" ht="20.100000000000001" customHeight="1" x14ac:dyDescent="0.3">
      <c r="A133" s="2"/>
      <c r="B133" s="2"/>
      <c r="C133" s="2"/>
      <c r="D133" s="2"/>
      <c r="E133" s="2"/>
      <c r="F133" s="2"/>
      <c r="G133" s="2"/>
      <c r="H133" s="2"/>
      <c r="I133" s="2"/>
      <c r="J133" s="2"/>
      <c r="K133" s="2"/>
      <c r="L133" s="2"/>
      <c r="M133" s="2"/>
      <c r="N133" s="2"/>
      <c r="O133" s="25"/>
      <c r="P133" s="2"/>
      <c r="Q133" s="2"/>
      <c r="R133" s="2"/>
      <c r="S133" s="2"/>
      <c r="T133" s="26"/>
    </row>
    <row r="134" spans="1:20" ht="20.100000000000001" customHeight="1" x14ac:dyDescent="0.3">
      <c r="A134" s="2"/>
      <c r="B134" s="2"/>
      <c r="C134" s="2"/>
      <c r="D134" s="2"/>
      <c r="E134" s="2"/>
      <c r="F134" s="2"/>
      <c r="G134" s="2"/>
      <c r="H134" s="2"/>
      <c r="I134" s="2"/>
      <c r="J134" s="2"/>
      <c r="K134" s="2"/>
      <c r="L134" s="2"/>
      <c r="M134" s="2"/>
      <c r="N134" s="2"/>
      <c r="O134" s="25"/>
      <c r="P134" s="2"/>
      <c r="Q134" s="2"/>
      <c r="R134" s="2"/>
      <c r="S134" s="2"/>
      <c r="T134" s="26"/>
    </row>
    <row r="135" spans="1:20" ht="20.100000000000001" customHeight="1" x14ac:dyDescent="0.3">
      <c r="A135" s="2"/>
      <c r="B135" s="2"/>
      <c r="C135" s="2"/>
      <c r="D135" s="2"/>
      <c r="E135" s="2"/>
      <c r="F135" s="2"/>
      <c r="G135" s="2"/>
      <c r="H135" s="2"/>
      <c r="I135" s="2"/>
      <c r="J135" s="2"/>
      <c r="K135" s="2"/>
      <c r="L135" s="2"/>
      <c r="M135" s="2"/>
      <c r="N135" s="2"/>
      <c r="O135" s="25"/>
      <c r="P135" s="2"/>
      <c r="Q135" s="2"/>
      <c r="R135" s="2"/>
      <c r="S135" s="2"/>
      <c r="T135" s="26"/>
    </row>
    <row r="136" spans="1:20" ht="20.100000000000001" customHeight="1" x14ac:dyDescent="0.3">
      <c r="A136" s="2"/>
      <c r="B136" s="2"/>
      <c r="C136" s="2"/>
      <c r="D136" s="2"/>
      <c r="E136" s="2"/>
      <c r="F136" s="2"/>
      <c r="G136" s="2"/>
      <c r="H136" s="2"/>
      <c r="I136" s="2"/>
      <c r="J136" s="2"/>
      <c r="K136" s="2"/>
      <c r="L136" s="2"/>
      <c r="M136" s="2"/>
      <c r="N136" s="2"/>
      <c r="O136" s="25"/>
      <c r="P136" s="2"/>
      <c r="Q136" s="2"/>
      <c r="R136" s="2"/>
      <c r="S136" s="2"/>
      <c r="T136" s="26"/>
    </row>
    <row r="137" spans="1:20" ht="20.100000000000001" customHeight="1" x14ac:dyDescent="0.3">
      <c r="A137" s="2"/>
      <c r="B137" s="2"/>
      <c r="C137" s="2"/>
      <c r="D137" s="2"/>
      <c r="E137" s="2"/>
      <c r="F137" s="2"/>
      <c r="G137" s="2"/>
      <c r="H137" s="2"/>
      <c r="I137" s="2"/>
      <c r="J137" s="2"/>
      <c r="K137" s="2"/>
      <c r="L137" s="2"/>
      <c r="M137" s="2"/>
      <c r="N137" s="2"/>
      <c r="O137" s="25"/>
      <c r="P137" s="2"/>
      <c r="Q137" s="2"/>
      <c r="R137" s="2"/>
      <c r="S137" s="2"/>
      <c r="T137" s="26"/>
    </row>
    <row r="138" spans="1:20" ht="20.100000000000001" customHeight="1" x14ac:dyDescent="0.3">
      <c r="A138" s="2"/>
      <c r="B138" s="2"/>
      <c r="C138" s="2"/>
      <c r="D138" s="2"/>
      <c r="E138" s="2"/>
      <c r="F138" s="2"/>
      <c r="G138" s="2"/>
      <c r="H138" s="2"/>
      <c r="I138" s="2"/>
      <c r="J138" s="2"/>
      <c r="K138" s="2"/>
      <c r="L138" s="2"/>
      <c r="M138" s="2"/>
      <c r="N138" s="2"/>
      <c r="O138" s="25"/>
      <c r="P138" s="2"/>
      <c r="Q138" s="2"/>
      <c r="R138" s="2"/>
      <c r="S138" s="2"/>
      <c r="T138" s="26"/>
    </row>
    <row r="139" spans="1:20" ht="20.100000000000001" customHeight="1" x14ac:dyDescent="0.3">
      <c r="A139" s="2"/>
      <c r="B139" s="2"/>
      <c r="C139" s="2"/>
      <c r="D139" s="2"/>
      <c r="E139" s="2"/>
      <c r="F139" s="2"/>
      <c r="G139" s="2"/>
      <c r="H139" s="2"/>
      <c r="I139" s="2"/>
      <c r="J139" s="2"/>
      <c r="K139" s="2"/>
      <c r="L139" s="2"/>
      <c r="M139" s="2"/>
      <c r="N139" s="2"/>
      <c r="O139" s="25"/>
      <c r="P139" s="2"/>
      <c r="Q139" s="2"/>
      <c r="R139" s="2"/>
      <c r="S139" s="2"/>
      <c r="T139" s="26"/>
    </row>
    <row r="140" spans="1:20" ht="20.100000000000001" customHeight="1" x14ac:dyDescent="0.3">
      <c r="A140" s="2"/>
      <c r="B140" s="2"/>
      <c r="C140" s="2"/>
      <c r="D140" s="2"/>
      <c r="E140" s="2"/>
      <c r="F140" s="2"/>
      <c r="G140" s="2"/>
      <c r="H140" s="2"/>
      <c r="I140" s="2"/>
      <c r="J140" s="2"/>
      <c r="K140" s="2"/>
      <c r="L140" s="2"/>
      <c r="M140" s="2"/>
      <c r="N140" s="2"/>
      <c r="O140" s="25"/>
      <c r="P140" s="2"/>
      <c r="Q140" s="2"/>
      <c r="R140" s="2"/>
      <c r="S140" s="2"/>
      <c r="T140" s="26"/>
    </row>
    <row r="141" spans="1:20" ht="20.100000000000001" customHeight="1" x14ac:dyDescent="0.3">
      <c r="A141" s="2"/>
      <c r="B141" s="2"/>
      <c r="C141" s="2"/>
      <c r="D141" s="2"/>
      <c r="E141" s="2"/>
      <c r="F141" s="2"/>
      <c r="G141" s="2"/>
      <c r="H141" s="2"/>
      <c r="I141" s="2"/>
      <c r="J141" s="2"/>
      <c r="K141" s="2"/>
      <c r="L141" s="2"/>
      <c r="M141" s="2"/>
      <c r="N141" s="2"/>
      <c r="O141" s="25"/>
      <c r="P141" s="2"/>
      <c r="Q141" s="2"/>
      <c r="R141" s="2"/>
      <c r="S141" s="2"/>
      <c r="T141" s="26"/>
    </row>
    <row r="142" spans="1:20" ht="20.100000000000001" customHeight="1" x14ac:dyDescent="0.3">
      <c r="A142" s="2"/>
      <c r="B142" s="2"/>
      <c r="C142" s="2"/>
      <c r="D142" s="2"/>
      <c r="E142" s="2"/>
      <c r="F142" s="2"/>
      <c r="G142" s="2"/>
      <c r="H142" s="2"/>
      <c r="I142" s="2"/>
      <c r="J142" s="2"/>
      <c r="K142" s="2"/>
      <c r="L142" s="2"/>
      <c r="M142" s="2"/>
      <c r="N142" s="2"/>
      <c r="O142" s="25"/>
      <c r="P142" s="2"/>
      <c r="Q142" s="2"/>
      <c r="R142" s="2"/>
      <c r="S142" s="2"/>
      <c r="T142" s="26"/>
    </row>
    <row r="143" spans="1:20" ht="20.100000000000001" customHeight="1" x14ac:dyDescent="0.3">
      <c r="A143" s="2"/>
      <c r="B143" s="2"/>
      <c r="C143" s="2"/>
      <c r="D143" s="2"/>
      <c r="E143" s="2"/>
      <c r="F143" s="2"/>
      <c r="G143" s="2"/>
      <c r="H143" s="2"/>
      <c r="I143" s="2"/>
      <c r="J143" s="2"/>
      <c r="K143" s="2"/>
      <c r="L143" s="2"/>
      <c r="M143" s="2"/>
      <c r="N143" s="2"/>
      <c r="O143" s="25"/>
      <c r="P143" s="2"/>
      <c r="Q143" s="2"/>
      <c r="R143" s="2"/>
      <c r="S143" s="2"/>
      <c r="T143" s="26"/>
    </row>
    <row r="144" spans="1:20" ht="20.100000000000001" customHeight="1" x14ac:dyDescent="0.3">
      <c r="A144" s="2"/>
      <c r="B144" s="2"/>
      <c r="C144" s="2"/>
      <c r="D144" s="2"/>
      <c r="E144" s="2"/>
      <c r="F144" s="2"/>
      <c r="G144" s="2"/>
      <c r="H144" s="2"/>
      <c r="I144" s="2"/>
      <c r="J144" s="2"/>
      <c r="K144" s="2"/>
      <c r="L144" s="2"/>
      <c r="M144" s="2"/>
      <c r="N144" s="2"/>
      <c r="O144" s="25"/>
      <c r="P144" s="2"/>
      <c r="Q144" s="2"/>
      <c r="R144" s="2"/>
      <c r="S144" s="2"/>
      <c r="T144" s="26"/>
    </row>
    <row r="145" spans="1:20" ht="20.100000000000001" customHeight="1" x14ac:dyDescent="0.3">
      <c r="A145" s="2"/>
      <c r="B145" s="2"/>
      <c r="C145" s="2"/>
      <c r="D145" s="2"/>
      <c r="E145" s="2"/>
      <c r="F145" s="2"/>
      <c r="G145" s="2"/>
      <c r="H145" s="2"/>
      <c r="I145" s="2"/>
      <c r="J145" s="2"/>
      <c r="K145" s="2"/>
      <c r="L145" s="2"/>
      <c r="M145" s="2"/>
      <c r="N145" s="2"/>
      <c r="O145" s="25"/>
      <c r="P145" s="2"/>
      <c r="Q145" s="2"/>
      <c r="R145" s="2"/>
      <c r="S145" s="2"/>
      <c r="T145" s="26"/>
    </row>
    <row r="146" spans="1:20" ht="20.100000000000001" customHeight="1" x14ac:dyDescent="0.3">
      <c r="A146" s="2"/>
      <c r="B146" s="2"/>
      <c r="C146" s="2"/>
      <c r="D146" s="2"/>
      <c r="E146" s="2"/>
      <c r="F146" s="2"/>
      <c r="G146" s="2"/>
      <c r="H146" s="2"/>
      <c r="I146" s="2"/>
      <c r="J146" s="2"/>
      <c r="K146" s="2"/>
      <c r="L146" s="2"/>
      <c r="M146" s="2"/>
      <c r="N146" s="2"/>
      <c r="O146" s="25"/>
      <c r="P146" s="2"/>
      <c r="Q146" s="2"/>
      <c r="R146" s="2"/>
      <c r="S146" s="2"/>
      <c r="T146" s="26"/>
    </row>
    <row r="147" spans="1:20" ht="20.100000000000001" customHeight="1" x14ac:dyDescent="0.3">
      <c r="A147" s="2"/>
      <c r="B147" s="2"/>
      <c r="C147" s="2"/>
      <c r="D147" s="2"/>
      <c r="E147" s="2"/>
      <c r="F147" s="2"/>
      <c r="G147" s="2"/>
      <c r="H147" s="2"/>
      <c r="I147" s="2"/>
      <c r="J147" s="2"/>
      <c r="K147" s="2"/>
      <c r="L147" s="2"/>
      <c r="M147" s="2"/>
      <c r="N147" s="2"/>
      <c r="O147" s="25"/>
      <c r="P147" s="2"/>
      <c r="Q147" s="2"/>
      <c r="R147" s="2"/>
      <c r="S147" s="2"/>
      <c r="T147" s="26"/>
    </row>
    <row r="148" spans="1:20" ht="20.100000000000001" customHeight="1" x14ac:dyDescent="0.3">
      <c r="A148" s="2"/>
      <c r="B148" s="2"/>
      <c r="C148" s="2"/>
      <c r="D148" s="2"/>
      <c r="E148" s="2"/>
      <c r="F148" s="2"/>
      <c r="G148" s="2"/>
      <c r="H148" s="2"/>
      <c r="I148" s="2"/>
      <c r="J148" s="2"/>
      <c r="K148" s="2"/>
      <c r="L148" s="2"/>
      <c r="M148" s="2"/>
      <c r="N148" s="2"/>
      <c r="O148" s="25"/>
      <c r="P148" s="2"/>
      <c r="Q148" s="2"/>
      <c r="R148" s="2"/>
      <c r="S148" s="2"/>
      <c r="T148" s="26"/>
    </row>
    <row r="149" spans="1:20" ht="20.100000000000001" customHeight="1" x14ac:dyDescent="0.3">
      <c r="A149" s="2"/>
      <c r="B149" s="2"/>
      <c r="C149" s="2"/>
      <c r="D149" s="2"/>
      <c r="E149" s="2"/>
      <c r="F149" s="2"/>
      <c r="G149" s="2"/>
      <c r="H149" s="2"/>
      <c r="I149" s="2"/>
      <c r="J149" s="2"/>
      <c r="K149" s="2"/>
      <c r="L149" s="2"/>
      <c r="M149" s="2"/>
      <c r="N149" s="2"/>
      <c r="O149" s="25"/>
      <c r="P149" s="2"/>
      <c r="Q149" s="2"/>
      <c r="R149" s="2"/>
      <c r="S149" s="2"/>
      <c r="T149" s="26"/>
    </row>
    <row r="150" spans="1:20" ht="20.100000000000001" customHeight="1" x14ac:dyDescent="0.3">
      <c r="A150" s="2"/>
      <c r="B150" s="2"/>
      <c r="C150" s="2"/>
      <c r="D150" s="2"/>
      <c r="E150" s="2"/>
      <c r="F150" s="2"/>
      <c r="G150" s="2"/>
      <c r="H150" s="2"/>
      <c r="I150" s="2"/>
      <c r="J150" s="2"/>
      <c r="K150" s="2"/>
      <c r="L150" s="2"/>
      <c r="M150" s="2"/>
      <c r="N150" s="2"/>
      <c r="O150" s="25"/>
      <c r="P150" s="2"/>
      <c r="Q150" s="2"/>
      <c r="R150" s="2"/>
      <c r="S150" s="2"/>
      <c r="T150" s="26"/>
    </row>
    <row r="151" spans="1:20" ht="20.100000000000001" customHeight="1" x14ac:dyDescent="0.3">
      <c r="A151" s="2"/>
      <c r="B151" s="2"/>
      <c r="C151" s="2"/>
      <c r="D151" s="2"/>
      <c r="E151" s="2"/>
      <c r="F151" s="2"/>
      <c r="G151" s="2"/>
      <c r="H151" s="2"/>
      <c r="I151" s="2"/>
      <c r="J151" s="2"/>
      <c r="K151" s="2"/>
      <c r="L151" s="2"/>
      <c r="M151" s="2"/>
      <c r="N151" s="2"/>
      <c r="O151" s="25"/>
      <c r="P151" s="2"/>
      <c r="Q151" s="2"/>
      <c r="R151" s="2"/>
      <c r="S151" s="2"/>
      <c r="T151" s="26"/>
    </row>
    <row r="152" spans="1:20" ht="20.100000000000001" customHeight="1" x14ac:dyDescent="0.3">
      <c r="A152" s="2"/>
      <c r="B152" s="2"/>
      <c r="C152" s="2"/>
      <c r="D152" s="2"/>
      <c r="E152" s="2"/>
      <c r="F152" s="2"/>
      <c r="G152" s="2"/>
      <c r="H152" s="2"/>
      <c r="I152" s="2"/>
      <c r="J152" s="2"/>
      <c r="K152" s="2"/>
      <c r="L152" s="2"/>
      <c r="M152" s="2"/>
      <c r="N152" s="2"/>
      <c r="O152" s="25"/>
      <c r="P152" s="2"/>
      <c r="Q152" s="2"/>
      <c r="R152" s="2"/>
      <c r="S152" s="2"/>
      <c r="T152" s="26"/>
    </row>
    <row r="153" spans="1:20" ht="20.100000000000001" customHeight="1" x14ac:dyDescent="0.3">
      <c r="A153" s="2"/>
      <c r="B153" s="2"/>
      <c r="C153" s="2"/>
      <c r="D153" s="2"/>
      <c r="E153" s="2"/>
      <c r="F153" s="2"/>
      <c r="G153" s="2"/>
      <c r="H153" s="2"/>
      <c r="I153" s="2"/>
      <c r="J153" s="2"/>
      <c r="K153" s="2"/>
      <c r="L153" s="2"/>
      <c r="M153" s="2"/>
      <c r="N153" s="2"/>
      <c r="O153" s="25"/>
      <c r="P153" s="2"/>
      <c r="Q153" s="2"/>
      <c r="R153" s="2"/>
      <c r="S153" s="2"/>
      <c r="T153" s="26"/>
    </row>
    <row r="154" spans="1:20" ht="20.100000000000001" customHeight="1" x14ac:dyDescent="0.3">
      <c r="A154" s="2"/>
      <c r="B154" s="2"/>
      <c r="C154" s="2"/>
      <c r="D154" s="2"/>
      <c r="E154" s="2"/>
      <c r="F154" s="2"/>
      <c r="G154" s="2"/>
      <c r="H154" s="2"/>
      <c r="I154" s="2"/>
      <c r="J154" s="2"/>
      <c r="K154" s="2"/>
      <c r="L154" s="2"/>
      <c r="M154" s="2"/>
      <c r="N154" s="2"/>
      <c r="O154" s="25"/>
      <c r="P154" s="2"/>
      <c r="Q154" s="2"/>
      <c r="R154" s="2"/>
      <c r="S154" s="2"/>
      <c r="T154" s="26"/>
    </row>
    <row r="155" spans="1:20" ht="20.100000000000001" customHeight="1" x14ac:dyDescent="0.3">
      <c r="A155" s="2"/>
      <c r="B155" s="2"/>
      <c r="C155" s="2"/>
      <c r="D155" s="2"/>
      <c r="E155" s="2"/>
      <c r="F155" s="2"/>
      <c r="G155" s="2"/>
      <c r="H155" s="2"/>
      <c r="I155" s="2"/>
      <c r="J155" s="2"/>
      <c r="K155" s="2"/>
      <c r="L155" s="2"/>
      <c r="M155" s="2"/>
      <c r="N155" s="2"/>
      <c r="O155" s="25"/>
      <c r="P155" s="2"/>
      <c r="Q155" s="2"/>
      <c r="R155" s="2"/>
      <c r="S155" s="2"/>
      <c r="T155" s="26"/>
    </row>
    <row r="156" spans="1:20" ht="20.100000000000001" customHeight="1" x14ac:dyDescent="0.3">
      <c r="A156" s="2"/>
      <c r="B156" s="2"/>
      <c r="C156" s="2"/>
      <c r="D156" s="2"/>
      <c r="E156" s="2"/>
      <c r="F156" s="2"/>
      <c r="G156" s="2"/>
      <c r="H156" s="2"/>
      <c r="I156" s="2"/>
      <c r="J156" s="2"/>
      <c r="K156" s="2"/>
      <c r="L156" s="2"/>
      <c r="M156" s="2"/>
      <c r="N156" s="2"/>
      <c r="O156" s="25"/>
      <c r="P156" s="2"/>
      <c r="Q156" s="2"/>
      <c r="R156" s="2"/>
      <c r="S156" s="2"/>
      <c r="T156" s="26"/>
    </row>
    <row r="157" spans="1:20" ht="20.100000000000001" customHeight="1" x14ac:dyDescent="0.3">
      <c r="A157" s="2"/>
      <c r="B157" s="2"/>
      <c r="C157" s="2"/>
      <c r="D157" s="2"/>
      <c r="E157" s="2"/>
      <c r="F157" s="2"/>
      <c r="G157" s="2"/>
      <c r="H157" s="2"/>
      <c r="I157" s="2"/>
      <c r="J157" s="2"/>
      <c r="K157" s="2"/>
      <c r="L157" s="2"/>
      <c r="M157" s="2"/>
      <c r="N157" s="2"/>
      <c r="O157" s="25"/>
      <c r="P157" s="2"/>
      <c r="Q157" s="2"/>
      <c r="R157" s="2"/>
      <c r="S157" s="2"/>
      <c r="T157" s="26"/>
    </row>
    <row r="158" spans="1:20" ht="20.100000000000001" customHeight="1" x14ac:dyDescent="0.3">
      <c r="A158" s="2"/>
      <c r="B158" s="2"/>
      <c r="C158" s="2"/>
      <c r="D158" s="2"/>
      <c r="E158" s="2"/>
      <c r="F158" s="2"/>
      <c r="G158" s="2"/>
      <c r="H158" s="2"/>
      <c r="I158" s="2"/>
      <c r="J158" s="2"/>
      <c r="K158" s="2"/>
      <c r="L158" s="2"/>
      <c r="M158" s="2"/>
      <c r="N158" s="2"/>
      <c r="O158" s="25"/>
      <c r="P158" s="2"/>
      <c r="Q158" s="2"/>
      <c r="R158" s="2"/>
      <c r="S158" s="2"/>
      <c r="T158" s="26"/>
    </row>
    <row r="159" spans="1:20" ht="20.100000000000001" customHeight="1" x14ac:dyDescent="0.3">
      <c r="A159" s="2"/>
      <c r="B159" s="2"/>
      <c r="C159" s="2"/>
      <c r="D159" s="2"/>
      <c r="E159" s="2"/>
      <c r="F159" s="2"/>
      <c r="G159" s="2"/>
      <c r="H159" s="2"/>
      <c r="I159" s="2"/>
      <c r="J159" s="2"/>
      <c r="K159" s="2"/>
      <c r="L159" s="2"/>
      <c r="M159" s="2"/>
      <c r="N159" s="2"/>
      <c r="O159" s="25"/>
      <c r="P159" s="2"/>
      <c r="Q159" s="2"/>
      <c r="R159" s="2"/>
      <c r="S159" s="2"/>
      <c r="T159" s="26"/>
    </row>
    <row r="160" spans="1:20" ht="20.100000000000001" customHeight="1" x14ac:dyDescent="0.3">
      <c r="A160" s="2"/>
      <c r="B160" s="2"/>
      <c r="C160" s="2"/>
      <c r="D160" s="2"/>
      <c r="E160" s="2"/>
      <c r="F160" s="2"/>
      <c r="G160" s="2"/>
      <c r="H160" s="2"/>
      <c r="I160" s="2"/>
      <c r="J160" s="2"/>
      <c r="K160" s="2"/>
      <c r="L160" s="2"/>
      <c r="M160" s="2"/>
      <c r="N160" s="2"/>
      <c r="O160" s="25"/>
      <c r="P160" s="2"/>
      <c r="Q160" s="2"/>
      <c r="R160" s="2"/>
      <c r="S160" s="2"/>
      <c r="T160" s="26"/>
    </row>
    <row r="161" spans="1:20" ht="20.100000000000001" customHeight="1" x14ac:dyDescent="0.3">
      <c r="A161" s="2"/>
      <c r="B161" s="2"/>
      <c r="C161" s="2"/>
      <c r="D161" s="2"/>
      <c r="E161" s="2"/>
      <c r="F161" s="2"/>
      <c r="G161" s="2"/>
      <c r="H161" s="2"/>
      <c r="I161" s="2"/>
      <c r="J161" s="2"/>
      <c r="K161" s="2"/>
      <c r="L161" s="2"/>
      <c r="M161" s="2"/>
      <c r="N161" s="2"/>
      <c r="O161" s="25"/>
      <c r="P161" s="2"/>
      <c r="Q161" s="2"/>
      <c r="R161" s="2"/>
      <c r="S161" s="2"/>
      <c r="T161" s="26"/>
    </row>
    <row r="162" spans="1:20" ht="20.100000000000001" customHeight="1" x14ac:dyDescent="0.3">
      <c r="A162" s="2"/>
      <c r="B162" s="2"/>
      <c r="C162" s="2"/>
      <c r="D162" s="2"/>
      <c r="E162" s="2"/>
      <c r="F162" s="2"/>
      <c r="G162" s="2"/>
      <c r="H162" s="2"/>
      <c r="I162" s="2"/>
      <c r="J162" s="2"/>
      <c r="K162" s="2"/>
      <c r="L162" s="2"/>
      <c r="M162" s="2"/>
      <c r="N162" s="2"/>
      <c r="O162" s="25"/>
      <c r="P162" s="2"/>
      <c r="Q162" s="2"/>
      <c r="R162" s="2"/>
      <c r="S162" s="2"/>
      <c r="T162" s="26"/>
    </row>
    <row r="163" spans="1:20" ht="20.100000000000001" customHeight="1" x14ac:dyDescent="0.3">
      <c r="A163" s="2"/>
      <c r="B163" s="2"/>
      <c r="C163" s="2"/>
      <c r="D163" s="2"/>
      <c r="E163" s="2"/>
      <c r="F163" s="2"/>
      <c r="G163" s="2"/>
      <c r="H163" s="2"/>
      <c r="I163" s="2"/>
      <c r="J163" s="2"/>
      <c r="K163" s="2"/>
      <c r="L163" s="2"/>
      <c r="M163" s="2"/>
      <c r="N163" s="2"/>
      <c r="O163" s="25"/>
      <c r="P163" s="2"/>
      <c r="Q163" s="2"/>
      <c r="R163" s="2"/>
      <c r="S163" s="2"/>
      <c r="T163" s="26"/>
    </row>
    <row r="164" spans="1:20" ht="20.100000000000001" customHeight="1" x14ac:dyDescent="0.3">
      <c r="A164" s="2"/>
      <c r="B164" s="2"/>
      <c r="C164" s="2"/>
      <c r="D164" s="2"/>
      <c r="E164" s="2"/>
      <c r="F164" s="2"/>
      <c r="G164" s="2"/>
      <c r="H164" s="2"/>
      <c r="I164" s="2"/>
      <c r="J164" s="2"/>
      <c r="K164" s="2"/>
      <c r="L164" s="2"/>
      <c r="M164" s="2"/>
      <c r="N164" s="2"/>
      <c r="O164" s="25"/>
      <c r="P164" s="2"/>
      <c r="Q164" s="2"/>
      <c r="R164" s="2"/>
      <c r="S164" s="2"/>
      <c r="T164" s="26"/>
    </row>
    <row r="165" spans="1:20" ht="20.100000000000001" customHeight="1" x14ac:dyDescent="0.3">
      <c r="A165" s="2"/>
      <c r="B165" s="2"/>
      <c r="C165" s="2"/>
      <c r="D165" s="2"/>
      <c r="E165" s="2"/>
      <c r="F165" s="2"/>
      <c r="G165" s="2"/>
      <c r="H165" s="2"/>
      <c r="I165" s="2"/>
      <c r="J165" s="2"/>
      <c r="K165" s="2"/>
      <c r="L165" s="2"/>
      <c r="M165" s="2"/>
      <c r="N165" s="2"/>
      <c r="O165" s="25"/>
      <c r="P165" s="2"/>
      <c r="Q165" s="2"/>
      <c r="R165" s="2"/>
      <c r="S165" s="2"/>
      <c r="T165" s="26"/>
    </row>
    <row r="166" spans="1:20" ht="20.100000000000001" customHeight="1" x14ac:dyDescent="0.3">
      <c r="A166" s="2"/>
      <c r="B166" s="2"/>
      <c r="C166" s="2"/>
      <c r="D166" s="2"/>
      <c r="E166" s="2"/>
      <c r="F166" s="2"/>
      <c r="G166" s="2"/>
      <c r="H166" s="2"/>
      <c r="I166" s="2"/>
      <c r="J166" s="2"/>
      <c r="K166" s="2"/>
      <c r="L166" s="2"/>
      <c r="M166" s="2"/>
      <c r="N166" s="2"/>
      <c r="O166" s="25"/>
      <c r="P166" s="2"/>
      <c r="Q166" s="2"/>
      <c r="R166" s="2"/>
      <c r="S166" s="2"/>
      <c r="T166" s="26"/>
    </row>
    <row r="167" spans="1:20" ht="20.100000000000001" customHeight="1" x14ac:dyDescent="0.3">
      <c r="A167" s="2"/>
      <c r="B167" s="2"/>
      <c r="C167" s="2"/>
      <c r="D167" s="2"/>
      <c r="E167" s="2"/>
      <c r="F167" s="2"/>
      <c r="G167" s="2"/>
      <c r="H167" s="2"/>
      <c r="I167" s="2"/>
      <c r="J167" s="2"/>
      <c r="K167" s="2"/>
      <c r="L167" s="2"/>
      <c r="M167" s="2"/>
      <c r="N167" s="2"/>
      <c r="O167" s="25"/>
      <c r="P167" s="2"/>
      <c r="Q167" s="2"/>
      <c r="R167" s="2"/>
      <c r="S167" s="2"/>
      <c r="T167" s="26"/>
    </row>
    <row r="168" spans="1:20" ht="20.100000000000001" customHeight="1" x14ac:dyDescent="0.3">
      <c r="A168" s="2"/>
      <c r="B168" s="2"/>
      <c r="C168" s="2"/>
      <c r="D168" s="2"/>
      <c r="E168" s="2"/>
      <c r="F168" s="2"/>
      <c r="G168" s="2"/>
      <c r="H168" s="2"/>
      <c r="I168" s="2"/>
      <c r="J168" s="2"/>
      <c r="K168" s="2"/>
      <c r="L168" s="2"/>
      <c r="M168" s="2"/>
      <c r="N168" s="2"/>
      <c r="O168" s="25"/>
      <c r="P168" s="2"/>
      <c r="Q168" s="2"/>
      <c r="R168" s="2"/>
      <c r="S168" s="2"/>
      <c r="T168" s="26"/>
    </row>
    <row r="169" spans="1:20" ht="20.100000000000001" customHeight="1" x14ac:dyDescent="0.3">
      <c r="A169" s="2"/>
      <c r="B169" s="2"/>
      <c r="C169" s="2"/>
      <c r="D169" s="2"/>
      <c r="E169" s="2"/>
      <c r="F169" s="2"/>
      <c r="G169" s="2"/>
      <c r="H169" s="2"/>
      <c r="I169" s="2"/>
      <c r="J169" s="2"/>
      <c r="K169" s="2"/>
      <c r="L169" s="2"/>
      <c r="M169" s="2"/>
      <c r="N169" s="2"/>
      <c r="O169" s="25"/>
      <c r="P169" s="2"/>
      <c r="Q169" s="2"/>
      <c r="R169" s="2"/>
      <c r="S169" s="2"/>
      <c r="T169" s="26"/>
    </row>
    <row r="170" spans="1:20" ht="20.100000000000001" customHeight="1" x14ac:dyDescent="0.3">
      <c r="A170" s="2"/>
      <c r="B170" s="2"/>
      <c r="C170" s="2"/>
      <c r="D170" s="2"/>
      <c r="E170" s="2"/>
      <c r="F170" s="2"/>
      <c r="G170" s="2"/>
      <c r="H170" s="2"/>
      <c r="I170" s="2"/>
      <c r="J170" s="2"/>
      <c r="K170" s="2"/>
      <c r="L170" s="2"/>
      <c r="M170" s="2"/>
      <c r="N170" s="2"/>
      <c r="O170" s="25"/>
      <c r="P170" s="2"/>
      <c r="Q170" s="2"/>
      <c r="R170" s="2"/>
      <c r="S170" s="2"/>
      <c r="T170" s="26"/>
    </row>
    <row r="171" spans="1:20" ht="20.100000000000001" customHeight="1" x14ac:dyDescent="0.3">
      <c r="A171" s="2"/>
      <c r="B171" s="2"/>
      <c r="C171" s="2"/>
      <c r="D171" s="2"/>
      <c r="E171" s="2"/>
      <c r="F171" s="2"/>
      <c r="G171" s="2"/>
      <c r="H171" s="2"/>
      <c r="I171" s="2"/>
      <c r="J171" s="2"/>
      <c r="K171" s="2"/>
      <c r="L171" s="2"/>
      <c r="M171" s="2"/>
      <c r="N171" s="2"/>
      <c r="O171" s="25"/>
      <c r="P171" s="2"/>
      <c r="Q171" s="2"/>
      <c r="R171" s="2"/>
      <c r="S171" s="2"/>
      <c r="T171" s="26"/>
    </row>
    <row r="172" spans="1:20" ht="20.100000000000001" customHeight="1" x14ac:dyDescent="0.3">
      <c r="A172" s="2"/>
      <c r="B172" s="2"/>
      <c r="C172" s="2"/>
      <c r="D172" s="2"/>
      <c r="E172" s="2"/>
      <c r="F172" s="2"/>
      <c r="G172" s="2"/>
      <c r="H172" s="2"/>
      <c r="I172" s="2"/>
      <c r="J172" s="2"/>
      <c r="K172" s="2"/>
      <c r="L172" s="2"/>
      <c r="M172" s="2"/>
      <c r="N172" s="2"/>
      <c r="O172" s="25"/>
      <c r="P172" s="2"/>
      <c r="Q172" s="2"/>
      <c r="R172" s="2"/>
      <c r="S172" s="2"/>
      <c r="T172" s="26"/>
    </row>
    <row r="173" spans="1:20" ht="20.100000000000001" customHeight="1" x14ac:dyDescent="0.3">
      <c r="A173" s="2"/>
      <c r="B173" s="2"/>
      <c r="C173" s="2"/>
      <c r="D173" s="2"/>
      <c r="E173" s="2"/>
      <c r="F173" s="2"/>
      <c r="G173" s="2"/>
      <c r="H173" s="2"/>
      <c r="I173" s="2"/>
      <c r="J173" s="2"/>
      <c r="K173" s="2"/>
      <c r="L173" s="2"/>
      <c r="M173" s="2"/>
      <c r="N173" s="2"/>
      <c r="O173" s="25"/>
      <c r="P173" s="2"/>
      <c r="Q173" s="2"/>
      <c r="R173" s="2"/>
      <c r="S173" s="2"/>
      <c r="T173" s="26"/>
    </row>
    <row r="174" spans="1:20" ht="20.100000000000001" customHeight="1" x14ac:dyDescent="0.3">
      <c r="A174" s="2"/>
      <c r="B174" s="2"/>
      <c r="C174" s="2"/>
      <c r="D174" s="2"/>
      <c r="E174" s="2"/>
      <c r="F174" s="2"/>
      <c r="G174" s="2"/>
      <c r="H174" s="2"/>
      <c r="I174" s="2"/>
      <c r="J174" s="2"/>
      <c r="K174" s="2"/>
      <c r="L174" s="2"/>
      <c r="M174" s="2"/>
      <c r="N174" s="2"/>
      <c r="O174" s="25"/>
      <c r="P174" s="2"/>
      <c r="Q174" s="2"/>
      <c r="R174" s="2"/>
      <c r="S174" s="2"/>
      <c r="T174" s="26"/>
    </row>
    <row r="175" spans="1:20" ht="20.100000000000001" customHeight="1" x14ac:dyDescent="0.3">
      <c r="A175" s="2"/>
      <c r="B175" s="2"/>
      <c r="C175" s="2"/>
      <c r="D175" s="2"/>
      <c r="E175" s="2"/>
      <c r="F175" s="2"/>
      <c r="G175" s="2"/>
      <c r="H175" s="2"/>
      <c r="I175" s="2"/>
      <c r="J175" s="2"/>
      <c r="K175" s="2"/>
      <c r="L175" s="2"/>
      <c r="M175" s="2"/>
      <c r="N175" s="2"/>
      <c r="O175" s="25"/>
      <c r="P175" s="2"/>
      <c r="Q175" s="2"/>
      <c r="R175" s="2"/>
      <c r="S175" s="2"/>
      <c r="T175" s="26"/>
    </row>
    <row r="176" spans="1:20" ht="20.100000000000001" customHeight="1" x14ac:dyDescent="0.3">
      <c r="A176" s="2"/>
      <c r="B176" s="2"/>
      <c r="C176" s="2"/>
      <c r="D176" s="2"/>
      <c r="E176" s="2"/>
      <c r="F176" s="2"/>
      <c r="G176" s="2"/>
      <c r="H176" s="2"/>
      <c r="I176" s="2"/>
      <c r="J176" s="2"/>
      <c r="K176" s="2"/>
      <c r="L176" s="2"/>
      <c r="M176" s="2"/>
      <c r="N176" s="2"/>
      <c r="O176" s="25"/>
      <c r="P176" s="2"/>
      <c r="Q176" s="2"/>
      <c r="R176" s="2"/>
      <c r="S176" s="2"/>
      <c r="T176" s="26"/>
    </row>
    <row r="177" spans="1:20" ht="20.100000000000001" customHeight="1" x14ac:dyDescent="0.3">
      <c r="A177" s="2"/>
      <c r="B177" s="2"/>
      <c r="C177" s="2"/>
      <c r="D177" s="2"/>
      <c r="E177" s="2"/>
      <c r="F177" s="2"/>
      <c r="G177" s="2"/>
      <c r="H177" s="2"/>
      <c r="I177" s="2"/>
      <c r="J177" s="2"/>
      <c r="K177" s="2"/>
      <c r="L177" s="2"/>
      <c r="M177" s="2"/>
      <c r="N177" s="2"/>
      <c r="O177" s="25"/>
      <c r="P177" s="2"/>
      <c r="Q177" s="2"/>
      <c r="R177" s="2"/>
      <c r="S177" s="2"/>
      <c r="T177" s="26"/>
    </row>
    <row r="178" spans="1:20" ht="20.100000000000001" customHeight="1" x14ac:dyDescent="0.3">
      <c r="A178" s="2"/>
      <c r="B178" s="2"/>
      <c r="C178" s="2"/>
      <c r="D178" s="2"/>
      <c r="E178" s="2"/>
      <c r="F178" s="2"/>
      <c r="G178" s="2"/>
      <c r="H178" s="2"/>
      <c r="I178" s="2"/>
      <c r="J178" s="2"/>
      <c r="K178" s="2"/>
      <c r="L178" s="2"/>
      <c r="M178" s="2"/>
      <c r="N178" s="2"/>
      <c r="O178" s="25"/>
      <c r="P178" s="2"/>
      <c r="Q178" s="2"/>
      <c r="R178" s="2"/>
      <c r="S178" s="2"/>
      <c r="T178" s="26"/>
    </row>
    <row r="179" spans="1:20" ht="20.100000000000001" customHeight="1" x14ac:dyDescent="0.3">
      <c r="A179" s="2"/>
      <c r="B179" s="2"/>
      <c r="C179" s="2"/>
      <c r="D179" s="2"/>
      <c r="E179" s="2"/>
      <c r="F179" s="2"/>
      <c r="G179" s="2"/>
      <c r="H179" s="2"/>
      <c r="I179" s="2"/>
      <c r="J179" s="2"/>
      <c r="K179" s="2"/>
      <c r="L179" s="2"/>
      <c r="M179" s="2"/>
      <c r="N179" s="2"/>
      <c r="O179" s="25"/>
      <c r="P179" s="2"/>
      <c r="Q179" s="2"/>
      <c r="R179" s="2"/>
      <c r="S179" s="2"/>
      <c r="T179" s="26"/>
    </row>
    <row r="180" spans="1:20" ht="20.100000000000001" customHeight="1" x14ac:dyDescent="0.3">
      <c r="A180" s="2"/>
      <c r="B180" s="2"/>
      <c r="C180" s="2"/>
      <c r="D180" s="2"/>
      <c r="E180" s="2"/>
      <c r="F180" s="2"/>
      <c r="G180" s="2"/>
      <c r="H180" s="2"/>
      <c r="I180" s="2"/>
      <c r="J180" s="2"/>
      <c r="K180" s="2"/>
      <c r="L180" s="2"/>
      <c r="M180" s="2"/>
      <c r="N180" s="2"/>
      <c r="O180" s="25"/>
      <c r="P180" s="2"/>
      <c r="Q180" s="2"/>
      <c r="R180" s="2"/>
      <c r="S180" s="2"/>
      <c r="T180" s="26"/>
    </row>
    <row r="181" spans="1:20" ht="20.100000000000001" customHeight="1" x14ac:dyDescent="0.3">
      <c r="A181" s="2"/>
      <c r="B181" s="2"/>
      <c r="C181" s="2"/>
      <c r="D181" s="2"/>
      <c r="E181" s="2"/>
      <c r="F181" s="2"/>
      <c r="G181" s="2"/>
      <c r="H181" s="2"/>
      <c r="I181" s="2"/>
      <c r="J181" s="2"/>
      <c r="K181" s="2"/>
      <c r="L181" s="2"/>
      <c r="M181" s="2"/>
      <c r="N181" s="2"/>
      <c r="O181" s="25"/>
      <c r="P181" s="2"/>
      <c r="Q181" s="2"/>
      <c r="R181" s="2"/>
      <c r="S181" s="2"/>
      <c r="T181" s="26"/>
    </row>
    <row r="182" spans="1:20" ht="20.100000000000001" customHeight="1" x14ac:dyDescent="0.3">
      <c r="A182" s="2"/>
      <c r="B182" s="2"/>
      <c r="C182" s="2"/>
      <c r="D182" s="2"/>
      <c r="E182" s="2"/>
      <c r="F182" s="2"/>
      <c r="G182" s="2"/>
      <c r="H182" s="2"/>
      <c r="I182" s="2"/>
      <c r="J182" s="2"/>
      <c r="K182" s="2"/>
      <c r="L182" s="2"/>
      <c r="M182" s="2"/>
      <c r="N182" s="2"/>
      <c r="O182" s="25"/>
      <c r="P182" s="2"/>
      <c r="Q182" s="2"/>
      <c r="R182" s="2"/>
      <c r="S182" s="2"/>
      <c r="T182" s="26"/>
    </row>
    <row r="183" spans="1:20" ht="20.100000000000001" customHeight="1" x14ac:dyDescent="0.3">
      <c r="A183" s="2"/>
      <c r="B183" s="2"/>
      <c r="C183" s="2"/>
      <c r="D183" s="2"/>
      <c r="E183" s="2"/>
      <c r="F183" s="2"/>
      <c r="G183" s="2"/>
      <c r="H183" s="2"/>
      <c r="I183" s="2"/>
      <c r="J183" s="2"/>
      <c r="K183" s="2"/>
      <c r="L183" s="2"/>
      <c r="M183" s="2"/>
      <c r="N183" s="2"/>
      <c r="O183" s="25"/>
      <c r="P183" s="2"/>
      <c r="Q183" s="2"/>
      <c r="R183" s="2"/>
      <c r="S183" s="2"/>
      <c r="T183" s="26"/>
    </row>
    <row r="184" spans="1:20" ht="20.100000000000001" customHeight="1" x14ac:dyDescent="0.3">
      <c r="A184" s="2"/>
      <c r="B184" s="2"/>
      <c r="C184" s="2"/>
      <c r="D184" s="2"/>
      <c r="E184" s="2"/>
      <c r="F184" s="2"/>
      <c r="G184" s="2"/>
      <c r="H184" s="2"/>
      <c r="I184" s="2"/>
      <c r="J184" s="2"/>
      <c r="K184" s="2"/>
      <c r="L184" s="2"/>
      <c r="M184" s="2"/>
      <c r="N184" s="2"/>
      <c r="O184" s="25"/>
      <c r="P184" s="2"/>
      <c r="Q184" s="2"/>
      <c r="R184" s="2"/>
      <c r="S184" s="2"/>
      <c r="T184" s="26"/>
    </row>
    <row r="185" spans="1:20" ht="20.100000000000001" customHeight="1" x14ac:dyDescent="0.3">
      <c r="A185" s="2"/>
      <c r="B185" s="2"/>
      <c r="C185" s="2"/>
      <c r="D185" s="2"/>
      <c r="E185" s="2"/>
      <c r="F185" s="2"/>
      <c r="G185" s="2"/>
      <c r="H185" s="2"/>
      <c r="I185" s="2"/>
      <c r="J185" s="2"/>
      <c r="K185" s="2"/>
      <c r="L185" s="2"/>
      <c r="M185" s="2"/>
      <c r="N185" s="2"/>
      <c r="O185" s="25"/>
      <c r="P185" s="2"/>
      <c r="Q185" s="2"/>
      <c r="R185" s="2"/>
      <c r="S185" s="2"/>
      <c r="T185" s="26"/>
    </row>
    <row r="186" spans="1:20" ht="20.100000000000001" customHeight="1" x14ac:dyDescent="0.3">
      <c r="A186" s="2"/>
      <c r="B186" s="2"/>
      <c r="C186" s="2"/>
      <c r="D186" s="2"/>
      <c r="E186" s="2"/>
      <c r="F186" s="2"/>
      <c r="G186" s="2"/>
      <c r="H186" s="2"/>
      <c r="I186" s="2"/>
      <c r="J186" s="2"/>
      <c r="K186" s="2"/>
      <c r="L186" s="2"/>
      <c r="M186" s="2"/>
      <c r="N186" s="2"/>
      <c r="O186" s="25"/>
      <c r="P186" s="2"/>
      <c r="Q186" s="2"/>
      <c r="R186" s="2"/>
      <c r="S186" s="2"/>
      <c r="T186" s="26"/>
    </row>
    <row r="187" spans="1:20" ht="20.100000000000001" customHeight="1" x14ac:dyDescent="0.3">
      <c r="A187" s="2"/>
      <c r="B187" s="2"/>
      <c r="C187" s="2"/>
      <c r="D187" s="2"/>
      <c r="E187" s="2"/>
      <c r="F187" s="2"/>
      <c r="G187" s="2"/>
      <c r="H187" s="2"/>
      <c r="I187" s="2"/>
      <c r="J187" s="2"/>
      <c r="K187" s="2"/>
      <c r="L187" s="2"/>
      <c r="M187" s="2"/>
      <c r="N187" s="2"/>
      <c r="O187" s="25"/>
      <c r="P187" s="2"/>
      <c r="Q187" s="2"/>
      <c r="R187" s="2"/>
      <c r="S187" s="2"/>
      <c r="T187" s="26"/>
    </row>
    <row r="188" spans="1:20" ht="20.100000000000001" customHeight="1" x14ac:dyDescent="0.3">
      <c r="A188" s="2"/>
      <c r="B188" s="2"/>
      <c r="C188" s="2"/>
      <c r="D188" s="2"/>
      <c r="E188" s="2"/>
      <c r="F188" s="2"/>
      <c r="G188" s="2"/>
      <c r="H188" s="2"/>
      <c r="I188" s="2"/>
      <c r="J188" s="2"/>
      <c r="K188" s="2"/>
      <c r="L188" s="2"/>
      <c r="M188" s="2"/>
      <c r="N188" s="2"/>
      <c r="O188" s="25"/>
      <c r="P188" s="2"/>
      <c r="Q188" s="2"/>
      <c r="R188" s="2"/>
      <c r="S188" s="2"/>
      <c r="T188" s="26"/>
    </row>
    <row r="189" spans="1:20" ht="20.100000000000001" customHeight="1" x14ac:dyDescent="0.3">
      <c r="A189" s="2"/>
      <c r="B189" s="2"/>
      <c r="C189" s="2"/>
      <c r="D189" s="2"/>
      <c r="E189" s="2"/>
      <c r="F189" s="2"/>
      <c r="G189" s="2"/>
      <c r="H189" s="2"/>
      <c r="I189" s="2"/>
      <c r="J189" s="2"/>
      <c r="K189" s="2"/>
      <c r="L189" s="2"/>
      <c r="M189" s="2"/>
      <c r="N189" s="2"/>
      <c r="O189" s="25"/>
      <c r="P189" s="2"/>
      <c r="Q189" s="2"/>
      <c r="R189" s="2"/>
      <c r="S189" s="2"/>
      <c r="T189" s="26"/>
    </row>
    <row r="190" spans="1:20" ht="20.100000000000001" customHeight="1" x14ac:dyDescent="0.3">
      <c r="A190" s="2"/>
      <c r="B190" s="2"/>
      <c r="C190" s="2"/>
      <c r="D190" s="2"/>
      <c r="E190" s="2"/>
      <c r="F190" s="2"/>
      <c r="G190" s="2"/>
      <c r="H190" s="2"/>
      <c r="I190" s="2"/>
      <c r="J190" s="2"/>
      <c r="K190" s="2"/>
      <c r="L190" s="2"/>
      <c r="M190" s="2"/>
      <c r="N190" s="2"/>
      <c r="O190" s="25"/>
      <c r="P190" s="2"/>
      <c r="Q190" s="2"/>
      <c r="R190" s="2"/>
      <c r="S190" s="2"/>
      <c r="T190" s="26"/>
    </row>
    <row r="191" spans="1:20" ht="20.100000000000001" customHeight="1" x14ac:dyDescent="0.3">
      <c r="A191" s="2"/>
      <c r="B191" s="2"/>
      <c r="C191" s="2"/>
      <c r="D191" s="2"/>
      <c r="E191" s="2"/>
      <c r="F191" s="2"/>
      <c r="G191" s="2"/>
      <c r="H191" s="2"/>
      <c r="I191" s="2"/>
      <c r="J191" s="2"/>
      <c r="K191" s="2"/>
      <c r="L191" s="2"/>
      <c r="M191" s="2"/>
      <c r="N191" s="2"/>
      <c r="O191" s="25"/>
      <c r="P191" s="2"/>
      <c r="Q191" s="2"/>
      <c r="R191" s="2"/>
      <c r="S191" s="2"/>
      <c r="T191" s="26"/>
    </row>
    <row r="192" spans="1:20" ht="20.100000000000001" customHeight="1" x14ac:dyDescent="0.3">
      <c r="A192" s="2"/>
      <c r="B192" s="2"/>
      <c r="C192" s="2"/>
      <c r="D192" s="2"/>
      <c r="E192" s="2"/>
      <c r="F192" s="2"/>
      <c r="G192" s="2"/>
      <c r="H192" s="2"/>
      <c r="I192" s="2"/>
      <c r="J192" s="2"/>
      <c r="K192" s="2"/>
      <c r="L192" s="2"/>
      <c r="M192" s="2"/>
      <c r="N192" s="2"/>
      <c r="O192" s="25"/>
      <c r="P192" s="2"/>
      <c r="Q192" s="2"/>
      <c r="R192" s="2"/>
      <c r="S192" s="2"/>
      <c r="T192" s="26"/>
    </row>
    <row r="193" spans="1:20" ht="20.100000000000001" customHeight="1" x14ac:dyDescent="0.3">
      <c r="A193" s="2"/>
      <c r="B193" s="2"/>
      <c r="C193" s="2"/>
      <c r="D193" s="2"/>
      <c r="E193" s="2"/>
      <c r="F193" s="2"/>
      <c r="G193" s="2"/>
      <c r="H193" s="2"/>
      <c r="I193" s="2"/>
      <c r="J193" s="2"/>
      <c r="K193" s="2"/>
      <c r="L193" s="2"/>
      <c r="M193" s="2"/>
      <c r="N193" s="2"/>
      <c r="O193" s="25"/>
      <c r="P193" s="2"/>
      <c r="Q193" s="2"/>
      <c r="R193" s="2"/>
      <c r="S193" s="2"/>
      <c r="T193" s="26"/>
    </row>
    <row r="194" spans="1:20" ht="20.100000000000001" customHeight="1" x14ac:dyDescent="0.3">
      <c r="A194" s="2"/>
      <c r="B194" s="2"/>
      <c r="C194" s="2"/>
      <c r="D194" s="2"/>
      <c r="E194" s="2"/>
      <c r="F194" s="2"/>
      <c r="G194" s="2"/>
      <c r="H194" s="2"/>
      <c r="I194" s="2"/>
      <c r="J194" s="2"/>
      <c r="K194" s="2"/>
      <c r="L194" s="2"/>
      <c r="M194" s="2"/>
      <c r="N194" s="2"/>
      <c r="O194" s="25"/>
      <c r="P194" s="2"/>
      <c r="Q194" s="2"/>
      <c r="R194" s="2"/>
      <c r="S194" s="2"/>
      <c r="T194" s="26"/>
    </row>
    <row r="195" spans="1:20" ht="20.100000000000001" customHeight="1" x14ac:dyDescent="0.3">
      <c r="A195" s="2"/>
      <c r="B195" s="2"/>
      <c r="C195" s="2"/>
      <c r="D195" s="2"/>
      <c r="E195" s="2"/>
      <c r="F195" s="2"/>
      <c r="G195" s="2"/>
      <c r="H195" s="2"/>
      <c r="I195" s="2"/>
      <c r="J195" s="2"/>
      <c r="K195" s="2"/>
      <c r="L195" s="2"/>
      <c r="M195" s="2"/>
      <c r="N195" s="2"/>
      <c r="O195" s="25"/>
      <c r="P195" s="2"/>
      <c r="Q195" s="2"/>
      <c r="R195" s="2"/>
      <c r="S195" s="2"/>
      <c r="T195" s="26"/>
    </row>
    <row r="196" spans="1:20" ht="20.100000000000001" customHeight="1" x14ac:dyDescent="0.3">
      <c r="A196" s="2"/>
      <c r="B196" s="2"/>
      <c r="C196" s="2"/>
      <c r="D196" s="2"/>
      <c r="E196" s="2"/>
      <c r="F196" s="2"/>
      <c r="G196" s="2"/>
      <c r="H196" s="2"/>
      <c r="I196" s="2"/>
      <c r="J196" s="2"/>
      <c r="K196" s="2"/>
      <c r="L196" s="2"/>
      <c r="M196" s="2"/>
      <c r="N196" s="2"/>
      <c r="O196" s="25"/>
      <c r="P196" s="2"/>
      <c r="Q196" s="2"/>
      <c r="R196" s="2"/>
      <c r="S196" s="2"/>
      <c r="T196" s="26"/>
    </row>
    <row r="197" spans="1:20" ht="20.100000000000001" customHeight="1" x14ac:dyDescent="0.3">
      <c r="A197" s="2"/>
      <c r="B197" s="2"/>
      <c r="C197" s="2"/>
      <c r="D197" s="2"/>
      <c r="E197" s="2"/>
      <c r="F197" s="2"/>
      <c r="G197" s="2"/>
      <c r="H197" s="2"/>
      <c r="I197" s="2"/>
      <c r="J197" s="2"/>
      <c r="K197" s="2"/>
      <c r="L197" s="2"/>
      <c r="M197" s="2"/>
      <c r="N197" s="2"/>
      <c r="O197" s="25"/>
      <c r="P197" s="2"/>
      <c r="Q197" s="2"/>
      <c r="R197" s="2"/>
      <c r="S197" s="2"/>
      <c r="T197" s="26"/>
    </row>
    <row r="198" spans="1:20" ht="20.100000000000001" customHeight="1" x14ac:dyDescent="0.3">
      <c r="A198" s="2"/>
      <c r="B198" s="2"/>
      <c r="C198" s="2"/>
      <c r="D198" s="2"/>
      <c r="E198" s="2"/>
      <c r="F198" s="2"/>
      <c r="G198" s="2"/>
      <c r="H198" s="2"/>
      <c r="I198" s="2"/>
      <c r="J198" s="2"/>
      <c r="K198" s="2"/>
      <c r="L198" s="2"/>
      <c r="M198" s="2"/>
      <c r="N198" s="2"/>
      <c r="O198" s="25"/>
      <c r="P198" s="2"/>
      <c r="Q198" s="2"/>
      <c r="R198" s="2"/>
      <c r="S198" s="2"/>
      <c r="T198" s="26"/>
    </row>
    <row r="199" spans="1:20" ht="20.100000000000001" customHeight="1" x14ac:dyDescent="0.3">
      <c r="A199" s="2"/>
      <c r="B199" s="2"/>
      <c r="C199" s="2"/>
      <c r="D199" s="2"/>
      <c r="E199" s="2"/>
      <c r="F199" s="2"/>
      <c r="G199" s="2"/>
      <c r="H199" s="2"/>
      <c r="I199" s="2"/>
      <c r="J199" s="2"/>
      <c r="K199" s="2"/>
      <c r="L199" s="2"/>
      <c r="M199" s="2"/>
      <c r="N199" s="2"/>
      <c r="O199" s="25"/>
      <c r="P199" s="2"/>
      <c r="Q199" s="2"/>
      <c r="R199" s="2"/>
      <c r="S199" s="2"/>
      <c r="T199" s="26"/>
    </row>
    <row r="200" spans="1:20" ht="20.100000000000001" customHeight="1" x14ac:dyDescent="0.3">
      <c r="A200" s="2"/>
      <c r="B200" s="2"/>
      <c r="C200" s="2"/>
      <c r="D200" s="2"/>
      <c r="E200" s="2"/>
      <c r="F200" s="2"/>
      <c r="G200" s="2"/>
      <c r="H200" s="2"/>
      <c r="I200" s="2"/>
      <c r="J200" s="2"/>
      <c r="K200" s="2"/>
      <c r="L200" s="2"/>
      <c r="M200" s="2"/>
      <c r="N200" s="2"/>
      <c r="O200" s="25"/>
      <c r="P200" s="2"/>
      <c r="Q200" s="2"/>
      <c r="R200" s="2"/>
      <c r="S200" s="2"/>
      <c r="T200" s="26"/>
    </row>
    <row r="201" spans="1:20" ht="20.100000000000001" customHeight="1" x14ac:dyDescent="0.3">
      <c r="A201" s="2"/>
      <c r="B201" s="2"/>
      <c r="C201" s="2"/>
      <c r="D201" s="2"/>
      <c r="E201" s="2"/>
      <c r="F201" s="2"/>
      <c r="G201" s="2"/>
      <c r="H201" s="2"/>
      <c r="I201" s="2"/>
      <c r="J201" s="2"/>
      <c r="K201" s="2"/>
      <c r="L201" s="2"/>
      <c r="M201" s="2"/>
      <c r="N201" s="2"/>
      <c r="O201" s="25"/>
      <c r="P201" s="2"/>
      <c r="Q201" s="2"/>
      <c r="R201" s="2"/>
      <c r="S201" s="2"/>
      <c r="T201" s="26"/>
    </row>
    <row r="202" spans="1:20" ht="20.100000000000001" customHeight="1" x14ac:dyDescent="0.3">
      <c r="A202" s="2"/>
      <c r="B202" s="2"/>
      <c r="C202" s="2"/>
      <c r="D202" s="2"/>
      <c r="E202" s="2"/>
      <c r="F202" s="2"/>
      <c r="G202" s="2"/>
      <c r="H202" s="2"/>
      <c r="I202" s="2"/>
      <c r="J202" s="2"/>
      <c r="K202" s="2"/>
      <c r="L202" s="2"/>
      <c r="M202" s="2"/>
      <c r="N202" s="2"/>
      <c r="O202" s="25"/>
      <c r="P202" s="2"/>
      <c r="Q202" s="2"/>
      <c r="R202" s="2"/>
      <c r="S202" s="2"/>
      <c r="T202" s="26"/>
    </row>
    <row r="203" spans="1:20" ht="20.100000000000001" customHeight="1" x14ac:dyDescent="0.3">
      <c r="A203" s="2"/>
      <c r="B203" s="2"/>
      <c r="C203" s="2"/>
      <c r="D203" s="2"/>
      <c r="E203" s="2"/>
      <c r="F203" s="2"/>
      <c r="G203" s="2"/>
      <c r="H203" s="2"/>
      <c r="I203" s="2"/>
      <c r="J203" s="2"/>
      <c r="K203" s="2"/>
      <c r="L203" s="2"/>
      <c r="M203" s="2"/>
      <c r="N203" s="2"/>
      <c r="O203" s="25"/>
      <c r="P203" s="2"/>
      <c r="Q203" s="2"/>
      <c r="R203" s="2"/>
      <c r="S203" s="2"/>
      <c r="T203" s="26"/>
    </row>
    <row r="204" spans="1:20" ht="20.100000000000001" customHeight="1" x14ac:dyDescent="0.3">
      <c r="A204" s="2"/>
      <c r="B204" s="2"/>
      <c r="C204" s="2"/>
      <c r="D204" s="2"/>
      <c r="E204" s="2"/>
      <c r="F204" s="2"/>
      <c r="G204" s="2"/>
      <c r="H204" s="2"/>
      <c r="I204" s="2"/>
      <c r="J204" s="2"/>
      <c r="K204" s="2"/>
      <c r="L204" s="2"/>
      <c r="M204" s="2"/>
      <c r="N204" s="2"/>
      <c r="O204" s="25"/>
      <c r="P204" s="2"/>
      <c r="Q204" s="2"/>
      <c r="R204" s="2"/>
      <c r="S204" s="2"/>
      <c r="T204" s="26"/>
    </row>
    <row r="205" spans="1:20" ht="20.100000000000001" customHeight="1" x14ac:dyDescent="0.3">
      <c r="A205" s="2"/>
      <c r="B205" s="2"/>
      <c r="C205" s="2"/>
      <c r="D205" s="2"/>
      <c r="E205" s="2"/>
      <c r="F205" s="2"/>
      <c r="G205" s="2"/>
      <c r="H205" s="2"/>
      <c r="I205" s="2"/>
      <c r="J205" s="2"/>
      <c r="K205" s="2"/>
      <c r="L205" s="2"/>
      <c r="M205" s="2"/>
      <c r="N205" s="2"/>
      <c r="O205" s="25"/>
      <c r="P205" s="2"/>
      <c r="Q205" s="2"/>
      <c r="R205" s="2"/>
      <c r="S205" s="2"/>
      <c r="T205" s="26"/>
    </row>
    <row r="206" spans="1:20" ht="20.100000000000001" customHeight="1" x14ac:dyDescent="0.3">
      <c r="A206" s="2"/>
      <c r="B206" s="2"/>
      <c r="C206" s="2"/>
      <c r="D206" s="2"/>
      <c r="E206" s="2"/>
      <c r="F206" s="2"/>
      <c r="G206" s="2"/>
      <c r="H206" s="2"/>
      <c r="I206" s="2"/>
      <c r="J206" s="2"/>
      <c r="K206" s="2"/>
      <c r="L206" s="2"/>
      <c r="M206" s="2"/>
      <c r="N206" s="2"/>
      <c r="O206" s="25"/>
      <c r="P206" s="2"/>
      <c r="Q206" s="2"/>
      <c r="R206" s="2"/>
      <c r="S206" s="2"/>
      <c r="T206" s="26"/>
    </row>
    <row r="207" spans="1:20" ht="20.100000000000001" customHeight="1" x14ac:dyDescent="0.3">
      <c r="A207" s="2"/>
      <c r="B207" s="2"/>
      <c r="C207" s="2"/>
      <c r="D207" s="2"/>
      <c r="E207" s="2"/>
      <c r="F207" s="2"/>
      <c r="G207" s="2"/>
      <c r="H207" s="2"/>
      <c r="I207" s="2"/>
      <c r="J207" s="2"/>
      <c r="K207" s="2"/>
      <c r="L207" s="2"/>
      <c r="M207" s="2"/>
      <c r="N207" s="2"/>
      <c r="O207" s="25"/>
      <c r="P207" s="2"/>
      <c r="Q207" s="2"/>
      <c r="R207" s="2"/>
      <c r="S207" s="2"/>
      <c r="T207" s="26"/>
    </row>
    <row r="208" spans="1:20" ht="20.100000000000001" customHeight="1" x14ac:dyDescent="0.3">
      <c r="A208" s="2"/>
      <c r="B208" s="2"/>
      <c r="C208" s="2"/>
      <c r="D208" s="2"/>
      <c r="E208" s="2"/>
      <c r="F208" s="2"/>
      <c r="G208" s="2"/>
      <c r="H208" s="2"/>
      <c r="I208" s="2"/>
      <c r="J208" s="2"/>
      <c r="K208" s="2"/>
      <c r="L208" s="2"/>
      <c r="M208" s="2"/>
      <c r="N208" s="2"/>
      <c r="O208" s="25"/>
      <c r="P208" s="2"/>
      <c r="Q208" s="2"/>
      <c r="R208" s="2"/>
      <c r="S208" s="2"/>
      <c r="T208" s="26"/>
    </row>
    <row r="209" spans="1:20" ht="20.100000000000001" customHeight="1" x14ac:dyDescent="0.3">
      <c r="A209" s="2"/>
      <c r="B209" s="2"/>
      <c r="C209" s="2"/>
      <c r="D209" s="2"/>
      <c r="E209" s="2"/>
      <c r="F209" s="2"/>
      <c r="G209" s="2"/>
      <c r="H209" s="2"/>
      <c r="I209" s="2"/>
      <c r="J209" s="2"/>
      <c r="K209" s="2"/>
      <c r="L209" s="2"/>
      <c r="M209" s="2"/>
      <c r="N209" s="2"/>
      <c r="O209" s="25"/>
      <c r="P209" s="2"/>
      <c r="Q209" s="2"/>
      <c r="R209" s="2"/>
      <c r="S209" s="2"/>
      <c r="T209" s="26"/>
    </row>
    <row r="210" spans="1:20" ht="20.100000000000001" customHeight="1" x14ac:dyDescent="0.3">
      <c r="A210" s="2"/>
      <c r="B210" s="2"/>
      <c r="C210" s="2"/>
      <c r="D210" s="2"/>
      <c r="E210" s="2"/>
      <c r="F210" s="2"/>
      <c r="G210" s="2"/>
      <c r="H210" s="2"/>
      <c r="I210" s="2"/>
      <c r="J210" s="2"/>
      <c r="K210" s="2"/>
      <c r="L210" s="2"/>
      <c r="M210" s="2"/>
      <c r="N210" s="2"/>
      <c r="O210" s="25"/>
      <c r="P210" s="2"/>
      <c r="Q210" s="2"/>
      <c r="R210" s="2"/>
      <c r="S210" s="2"/>
      <c r="T210" s="26"/>
    </row>
    <row r="211" spans="1:20" ht="20.100000000000001" customHeight="1" x14ac:dyDescent="0.3">
      <c r="A211" s="2"/>
      <c r="B211" s="2"/>
      <c r="C211" s="2"/>
      <c r="D211" s="2"/>
      <c r="E211" s="2"/>
      <c r="F211" s="2"/>
      <c r="G211" s="2"/>
      <c r="H211" s="2"/>
      <c r="I211" s="2"/>
      <c r="J211" s="2"/>
      <c r="K211" s="2"/>
      <c r="L211" s="2"/>
      <c r="M211" s="2"/>
      <c r="N211" s="2"/>
      <c r="O211" s="25"/>
      <c r="P211" s="2"/>
      <c r="Q211" s="2"/>
      <c r="R211" s="2"/>
      <c r="S211" s="2"/>
      <c r="T211" s="26"/>
    </row>
    <row r="212" spans="1:20" ht="20.100000000000001" customHeight="1" x14ac:dyDescent="0.3">
      <c r="A212" s="2"/>
      <c r="B212" s="2"/>
      <c r="C212" s="2"/>
      <c r="D212" s="2"/>
      <c r="E212" s="2"/>
      <c r="F212" s="2"/>
      <c r="G212" s="2"/>
      <c r="H212" s="2"/>
      <c r="I212" s="2"/>
      <c r="J212" s="2"/>
      <c r="K212" s="2"/>
      <c r="L212" s="2"/>
      <c r="M212" s="2"/>
      <c r="N212" s="2"/>
      <c r="O212" s="25"/>
      <c r="P212" s="2"/>
      <c r="Q212" s="2"/>
      <c r="R212" s="2"/>
      <c r="S212" s="2"/>
      <c r="T212" s="26"/>
    </row>
    <row r="213" spans="1:20" ht="20.100000000000001" customHeight="1" x14ac:dyDescent="0.3">
      <c r="A213" s="2"/>
      <c r="B213" s="2"/>
      <c r="C213" s="2"/>
      <c r="D213" s="2"/>
      <c r="E213" s="2"/>
      <c r="F213" s="2"/>
      <c r="G213" s="2"/>
      <c r="H213" s="2"/>
      <c r="I213" s="2"/>
      <c r="J213" s="2"/>
      <c r="K213" s="2"/>
      <c r="L213" s="2"/>
      <c r="M213" s="2"/>
      <c r="N213" s="2"/>
      <c r="O213" s="25"/>
      <c r="P213" s="2"/>
      <c r="Q213" s="2"/>
      <c r="R213" s="2"/>
      <c r="S213" s="2"/>
      <c r="T213" s="26"/>
    </row>
    <row r="214" spans="1:20" ht="20.100000000000001" customHeight="1" x14ac:dyDescent="0.3">
      <c r="A214" s="2"/>
      <c r="B214" s="2"/>
      <c r="C214" s="2"/>
      <c r="D214" s="2"/>
      <c r="E214" s="2"/>
      <c r="F214" s="2"/>
      <c r="G214" s="2"/>
      <c r="H214" s="2"/>
      <c r="I214" s="2"/>
      <c r="J214" s="2"/>
      <c r="K214" s="2"/>
      <c r="L214" s="2"/>
      <c r="M214" s="2"/>
      <c r="N214" s="2"/>
      <c r="O214" s="25"/>
      <c r="P214" s="2"/>
      <c r="Q214" s="2"/>
      <c r="R214" s="2"/>
      <c r="S214" s="2"/>
      <c r="T214" s="26"/>
    </row>
    <row r="215" spans="1:20" ht="20.100000000000001" customHeight="1" x14ac:dyDescent="0.3">
      <c r="A215" s="2"/>
      <c r="B215" s="2"/>
      <c r="C215" s="2"/>
      <c r="D215" s="2"/>
      <c r="E215" s="2"/>
      <c r="F215" s="2"/>
      <c r="G215" s="2"/>
      <c r="H215" s="2"/>
      <c r="I215" s="2"/>
      <c r="J215" s="2"/>
      <c r="K215" s="2"/>
      <c r="L215" s="2"/>
      <c r="M215" s="2"/>
      <c r="N215" s="2"/>
      <c r="O215" s="25"/>
      <c r="P215" s="2"/>
      <c r="Q215" s="2"/>
      <c r="R215" s="2"/>
      <c r="S215" s="2"/>
      <c r="T215" s="26"/>
    </row>
    <row r="216" spans="1:20" ht="20.100000000000001" customHeight="1" x14ac:dyDescent="0.3">
      <c r="A216" s="2"/>
      <c r="B216" s="2"/>
      <c r="C216" s="2"/>
      <c r="D216" s="2"/>
      <c r="E216" s="2"/>
      <c r="F216" s="2"/>
      <c r="G216" s="2"/>
      <c r="H216" s="2"/>
      <c r="I216" s="2"/>
      <c r="J216" s="2"/>
      <c r="K216" s="2"/>
      <c r="L216" s="2"/>
      <c r="M216" s="2"/>
      <c r="N216" s="2"/>
      <c r="O216" s="25"/>
      <c r="P216" s="2"/>
      <c r="Q216" s="2"/>
      <c r="R216" s="2"/>
      <c r="S216" s="2"/>
      <c r="T216" s="26"/>
    </row>
    <row r="217" spans="1:20" ht="20.100000000000001" customHeight="1" x14ac:dyDescent="0.3">
      <c r="A217" s="2"/>
      <c r="B217" s="2"/>
      <c r="C217" s="2"/>
      <c r="D217" s="2"/>
      <c r="E217" s="2"/>
      <c r="F217" s="2"/>
      <c r="G217" s="2"/>
      <c r="H217" s="2"/>
      <c r="I217" s="2"/>
      <c r="J217" s="2"/>
      <c r="K217" s="2"/>
      <c r="L217" s="2"/>
      <c r="M217" s="2"/>
      <c r="N217" s="2"/>
      <c r="O217" s="25"/>
      <c r="P217" s="2"/>
      <c r="Q217" s="2"/>
      <c r="R217" s="2"/>
      <c r="S217" s="2"/>
      <c r="T217" s="26"/>
    </row>
    <row r="218" spans="1:20" ht="20.100000000000001" customHeight="1" x14ac:dyDescent="0.3">
      <c r="A218" s="2"/>
      <c r="B218" s="2"/>
      <c r="C218" s="2"/>
      <c r="D218" s="2"/>
      <c r="E218" s="2"/>
      <c r="F218" s="2"/>
      <c r="G218" s="2"/>
      <c r="H218" s="2"/>
      <c r="I218" s="2"/>
      <c r="J218" s="2"/>
      <c r="K218" s="2"/>
      <c r="L218" s="2"/>
      <c r="M218" s="2"/>
      <c r="N218" s="2"/>
      <c r="O218" s="25"/>
      <c r="P218" s="2"/>
      <c r="Q218" s="2"/>
      <c r="R218" s="2"/>
      <c r="S218" s="2"/>
      <c r="T218" s="26"/>
    </row>
    <row r="219" spans="1:20" ht="20.100000000000001" customHeight="1" x14ac:dyDescent="0.3">
      <c r="A219" s="2"/>
      <c r="B219" s="2"/>
      <c r="C219" s="2"/>
      <c r="D219" s="2"/>
      <c r="E219" s="2"/>
      <c r="F219" s="2"/>
      <c r="G219" s="2"/>
      <c r="H219" s="2"/>
      <c r="I219" s="2"/>
      <c r="J219" s="2"/>
      <c r="K219" s="2"/>
      <c r="L219" s="2"/>
      <c r="M219" s="2"/>
      <c r="N219" s="2"/>
      <c r="O219" s="25"/>
      <c r="P219" s="2"/>
      <c r="Q219" s="2"/>
      <c r="R219" s="2"/>
      <c r="S219" s="2"/>
      <c r="T219" s="26"/>
    </row>
    <row r="220" spans="1:20" ht="20.100000000000001" customHeight="1" x14ac:dyDescent="0.3">
      <c r="A220" s="2"/>
      <c r="B220" s="2"/>
      <c r="C220" s="2"/>
      <c r="D220" s="2"/>
      <c r="E220" s="2"/>
      <c r="F220" s="2"/>
      <c r="G220" s="2"/>
      <c r="H220" s="2"/>
      <c r="I220" s="2"/>
      <c r="J220" s="2"/>
      <c r="K220" s="2"/>
      <c r="L220" s="2"/>
      <c r="M220" s="2"/>
      <c r="N220" s="2"/>
      <c r="O220" s="25"/>
      <c r="P220" s="2"/>
      <c r="Q220" s="2"/>
      <c r="R220" s="2"/>
      <c r="S220" s="2"/>
      <c r="T220" s="26"/>
    </row>
    <row r="221" spans="1:20" ht="20.100000000000001" customHeight="1" x14ac:dyDescent="0.3">
      <c r="A221" s="2"/>
      <c r="B221" s="2"/>
      <c r="C221" s="2"/>
      <c r="D221" s="2"/>
      <c r="E221" s="2"/>
      <c r="F221" s="2"/>
      <c r="G221" s="2"/>
      <c r="H221" s="2"/>
      <c r="I221" s="2"/>
      <c r="J221" s="2"/>
      <c r="K221" s="2"/>
      <c r="L221" s="2"/>
      <c r="M221" s="2"/>
      <c r="N221" s="2"/>
      <c r="O221" s="25"/>
      <c r="P221" s="2"/>
      <c r="Q221" s="2"/>
      <c r="R221" s="2"/>
      <c r="S221" s="2"/>
      <c r="T221" s="26"/>
    </row>
    <row r="222" spans="1:20" ht="20.100000000000001" customHeight="1" x14ac:dyDescent="0.3">
      <c r="A222" s="2"/>
      <c r="B222" s="2"/>
      <c r="C222" s="2"/>
      <c r="D222" s="2"/>
      <c r="E222" s="2"/>
      <c r="F222" s="2"/>
      <c r="G222" s="2"/>
      <c r="H222" s="2"/>
      <c r="I222" s="2"/>
      <c r="J222" s="2"/>
      <c r="K222" s="2"/>
      <c r="L222" s="2"/>
      <c r="M222" s="2"/>
      <c r="N222" s="2"/>
      <c r="O222" s="25"/>
      <c r="P222" s="2"/>
      <c r="Q222" s="2"/>
      <c r="R222" s="2"/>
      <c r="S222" s="2"/>
      <c r="T222" s="26"/>
    </row>
    <row r="223" spans="1:20" ht="20.100000000000001" customHeight="1" x14ac:dyDescent="0.3">
      <c r="A223" s="2"/>
      <c r="B223" s="2"/>
      <c r="C223" s="2"/>
      <c r="D223" s="2"/>
      <c r="E223" s="2"/>
      <c r="F223" s="2"/>
      <c r="G223" s="2"/>
      <c r="H223" s="2"/>
      <c r="I223" s="2"/>
      <c r="J223" s="2"/>
      <c r="K223" s="2"/>
      <c r="L223" s="2"/>
      <c r="M223" s="2"/>
      <c r="N223" s="2"/>
      <c r="O223" s="25"/>
      <c r="P223" s="2"/>
      <c r="Q223" s="2"/>
      <c r="R223" s="2"/>
      <c r="S223" s="2"/>
      <c r="T223" s="26"/>
    </row>
    <row r="224" spans="1:20" ht="20.100000000000001" customHeight="1" x14ac:dyDescent="0.3">
      <c r="A224" s="2"/>
      <c r="B224" s="2"/>
      <c r="C224" s="2"/>
      <c r="D224" s="2"/>
      <c r="E224" s="2"/>
      <c r="F224" s="2"/>
      <c r="G224" s="2"/>
      <c r="H224" s="2"/>
      <c r="I224" s="2"/>
      <c r="J224" s="2"/>
      <c r="K224" s="2"/>
      <c r="L224" s="2"/>
      <c r="M224" s="2"/>
      <c r="N224" s="2"/>
      <c r="O224" s="25"/>
      <c r="P224" s="2"/>
      <c r="Q224" s="2"/>
      <c r="R224" s="2"/>
      <c r="S224" s="2"/>
      <c r="T224" s="26"/>
    </row>
    <row r="225" spans="1:20" ht="20.100000000000001" customHeight="1" x14ac:dyDescent="0.3">
      <c r="A225" s="2"/>
      <c r="B225" s="2"/>
      <c r="C225" s="2"/>
      <c r="D225" s="2"/>
      <c r="E225" s="2"/>
      <c r="F225" s="2"/>
      <c r="G225" s="2"/>
      <c r="H225" s="2"/>
      <c r="I225" s="2"/>
      <c r="J225" s="2"/>
      <c r="K225" s="2"/>
      <c r="L225" s="2"/>
      <c r="M225" s="2"/>
      <c r="N225" s="2"/>
      <c r="O225" s="25"/>
      <c r="P225" s="2"/>
      <c r="Q225" s="2"/>
      <c r="R225" s="2"/>
      <c r="S225" s="2"/>
      <c r="T225" s="26"/>
    </row>
    <row r="226" spans="1:20" ht="20.100000000000001" customHeight="1" x14ac:dyDescent="0.3">
      <c r="A226" s="2"/>
      <c r="B226" s="2"/>
      <c r="C226" s="2"/>
      <c r="D226" s="2"/>
      <c r="E226" s="2"/>
      <c r="F226" s="2"/>
      <c r="G226" s="2"/>
      <c r="H226" s="2"/>
      <c r="I226" s="2"/>
      <c r="J226" s="2"/>
      <c r="K226" s="2"/>
      <c r="L226" s="2"/>
      <c r="M226" s="2"/>
      <c r="N226" s="2"/>
      <c r="O226" s="25"/>
      <c r="P226" s="2"/>
      <c r="Q226" s="2"/>
      <c r="R226" s="2"/>
      <c r="S226" s="2"/>
      <c r="T226" s="26"/>
    </row>
    <row r="227" spans="1:20" ht="20.100000000000001" customHeight="1" x14ac:dyDescent="0.3">
      <c r="A227" s="2"/>
      <c r="B227" s="2"/>
      <c r="C227" s="2"/>
      <c r="D227" s="2"/>
      <c r="E227" s="2"/>
      <c r="F227" s="2"/>
      <c r="G227" s="2"/>
      <c r="H227" s="2"/>
      <c r="I227" s="2"/>
      <c r="J227" s="2"/>
      <c r="K227" s="2"/>
      <c r="L227" s="2"/>
      <c r="M227" s="2"/>
      <c r="N227" s="2"/>
      <c r="O227" s="25"/>
      <c r="P227" s="2"/>
      <c r="Q227" s="2"/>
      <c r="R227" s="2"/>
      <c r="S227" s="2"/>
      <c r="T227" s="26"/>
    </row>
    <row r="228" spans="1:20" ht="20.100000000000001" customHeight="1" x14ac:dyDescent="0.3">
      <c r="A228" s="2"/>
      <c r="B228" s="2"/>
      <c r="C228" s="2"/>
      <c r="D228" s="2"/>
      <c r="E228" s="2"/>
      <c r="F228" s="2"/>
      <c r="G228" s="2"/>
      <c r="H228" s="2"/>
      <c r="I228" s="2"/>
      <c r="J228" s="2"/>
      <c r="K228" s="2"/>
      <c r="L228" s="2"/>
      <c r="M228" s="2"/>
      <c r="N228" s="2"/>
      <c r="O228" s="25"/>
      <c r="P228" s="2"/>
      <c r="Q228" s="2"/>
      <c r="R228" s="2"/>
      <c r="S228" s="2"/>
      <c r="T228" s="26"/>
    </row>
    <row r="229" spans="1:20" ht="20.100000000000001" customHeight="1" x14ac:dyDescent="0.3">
      <c r="A229" s="2"/>
      <c r="B229" s="2"/>
      <c r="C229" s="2"/>
      <c r="D229" s="2"/>
      <c r="E229" s="2"/>
      <c r="F229" s="2"/>
      <c r="G229" s="2"/>
      <c r="H229" s="2"/>
      <c r="I229" s="2"/>
      <c r="J229" s="2"/>
      <c r="K229" s="2"/>
      <c r="L229" s="2"/>
      <c r="M229" s="2"/>
      <c r="N229" s="2"/>
      <c r="O229" s="25"/>
      <c r="P229" s="2"/>
      <c r="Q229" s="2"/>
      <c r="R229" s="2"/>
      <c r="S229" s="2"/>
      <c r="T229" s="26"/>
    </row>
    <row r="230" spans="1:20" ht="20.100000000000001" customHeight="1" x14ac:dyDescent="0.3">
      <c r="A230" s="2"/>
      <c r="B230" s="2"/>
      <c r="C230" s="2"/>
      <c r="D230" s="2"/>
      <c r="E230" s="2"/>
      <c r="F230" s="2"/>
      <c r="G230" s="2"/>
      <c r="H230" s="2"/>
      <c r="I230" s="2"/>
      <c r="J230" s="2"/>
      <c r="K230" s="2"/>
      <c r="L230" s="2"/>
      <c r="M230" s="2"/>
      <c r="N230" s="2"/>
      <c r="O230" s="25"/>
      <c r="P230" s="2"/>
      <c r="Q230" s="2"/>
      <c r="R230" s="2"/>
      <c r="S230" s="2"/>
      <c r="T230" s="26"/>
    </row>
    <row r="231" spans="1:20" ht="20.100000000000001" customHeight="1" x14ac:dyDescent="0.3">
      <c r="A231" s="2"/>
      <c r="B231" s="2"/>
      <c r="C231" s="2"/>
      <c r="D231" s="2"/>
      <c r="E231" s="2"/>
      <c r="F231" s="2"/>
      <c r="G231" s="2"/>
      <c r="H231" s="2"/>
      <c r="I231" s="2"/>
      <c r="J231" s="2"/>
      <c r="K231" s="2"/>
      <c r="L231" s="2"/>
      <c r="M231" s="2"/>
      <c r="N231" s="2"/>
      <c r="O231" s="25"/>
      <c r="P231" s="2"/>
      <c r="Q231" s="2"/>
      <c r="R231" s="2"/>
      <c r="S231" s="2"/>
      <c r="T231" s="26"/>
    </row>
    <row r="232" spans="1:20" ht="20.100000000000001" customHeight="1" x14ac:dyDescent="0.3">
      <c r="A232" s="2"/>
      <c r="B232" s="2"/>
      <c r="C232" s="2"/>
      <c r="D232" s="2"/>
      <c r="E232" s="2"/>
      <c r="F232" s="2"/>
      <c r="G232" s="2"/>
      <c r="H232" s="2"/>
      <c r="I232" s="2"/>
      <c r="J232" s="2"/>
      <c r="K232" s="2"/>
      <c r="L232" s="2"/>
      <c r="M232" s="2"/>
      <c r="N232" s="2"/>
      <c r="O232" s="25"/>
      <c r="P232" s="2"/>
      <c r="Q232" s="2"/>
      <c r="R232" s="2"/>
      <c r="S232" s="2"/>
      <c r="T232" s="26"/>
    </row>
    <row r="233" spans="1:20" ht="20.100000000000001" customHeight="1" x14ac:dyDescent="0.3">
      <c r="A233" s="2"/>
      <c r="B233" s="2"/>
      <c r="C233" s="2"/>
      <c r="D233" s="2"/>
      <c r="E233" s="2"/>
      <c r="F233" s="2"/>
      <c r="G233" s="2"/>
      <c r="H233" s="2"/>
      <c r="I233" s="2"/>
      <c r="J233" s="2"/>
      <c r="K233" s="2"/>
      <c r="L233" s="2"/>
      <c r="M233" s="2"/>
      <c r="N233" s="2"/>
      <c r="O233" s="25"/>
      <c r="P233" s="2"/>
      <c r="Q233" s="2"/>
      <c r="R233" s="2"/>
      <c r="S233" s="2"/>
      <c r="T233" s="26"/>
    </row>
    <row r="234" spans="1:20" ht="20.100000000000001" customHeight="1" x14ac:dyDescent="0.3">
      <c r="A234" s="2"/>
      <c r="B234" s="2"/>
      <c r="C234" s="2"/>
      <c r="D234" s="2"/>
      <c r="E234" s="2"/>
      <c r="F234" s="2"/>
      <c r="G234" s="2"/>
      <c r="H234" s="2"/>
      <c r="I234" s="2"/>
      <c r="J234" s="2"/>
      <c r="K234" s="2"/>
      <c r="L234" s="2"/>
      <c r="M234" s="2"/>
      <c r="N234" s="2"/>
      <c r="O234" s="25"/>
      <c r="P234" s="2"/>
      <c r="Q234" s="2"/>
      <c r="R234" s="2"/>
      <c r="S234" s="2"/>
      <c r="T234" s="26"/>
    </row>
    <row r="235" spans="1:20" ht="20.100000000000001" customHeight="1" x14ac:dyDescent="0.3">
      <c r="A235" s="2"/>
      <c r="B235" s="2"/>
      <c r="C235" s="2"/>
      <c r="D235" s="2"/>
      <c r="E235" s="2"/>
      <c r="F235" s="2"/>
      <c r="G235" s="2"/>
      <c r="H235" s="2"/>
      <c r="I235" s="2"/>
      <c r="J235" s="2"/>
      <c r="K235" s="2"/>
      <c r="L235" s="2"/>
      <c r="M235" s="2"/>
      <c r="N235" s="2"/>
      <c r="O235" s="25"/>
      <c r="P235" s="2"/>
      <c r="Q235" s="2"/>
      <c r="R235" s="2"/>
      <c r="S235" s="2"/>
      <c r="T235" s="26"/>
    </row>
    <row r="236" spans="1:20" ht="20.100000000000001" customHeight="1" x14ac:dyDescent="0.3">
      <c r="A236" s="2"/>
      <c r="B236" s="2"/>
      <c r="C236" s="2"/>
      <c r="D236" s="2"/>
      <c r="E236" s="2"/>
      <c r="F236" s="2"/>
      <c r="G236" s="2"/>
      <c r="H236" s="2"/>
      <c r="I236" s="2"/>
      <c r="J236" s="2"/>
      <c r="K236" s="2"/>
      <c r="L236" s="2"/>
      <c r="M236" s="2"/>
      <c r="N236" s="2"/>
      <c r="O236" s="25"/>
      <c r="P236" s="2"/>
      <c r="Q236" s="2"/>
      <c r="R236" s="2"/>
      <c r="S236" s="2"/>
      <c r="T236" s="26"/>
    </row>
    <row r="237" spans="1:20" ht="20.100000000000001" customHeight="1" x14ac:dyDescent="0.3">
      <c r="A237" s="2"/>
      <c r="B237" s="2"/>
      <c r="C237" s="2"/>
      <c r="D237" s="2"/>
      <c r="E237" s="2"/>
      <c r="F237" s="2"/>
      <c r="G237" s="2"/>
      <c r="H237" s="2"/>
      <c r="I237" s="2"/>
      <c r="J237" s="2"/>
      <c r="K237" s="2"/>
      <c r="L237" s="2"/>
      <c r="M237" s="2"/>
      <c r="N237" s="2"/>
      <c r="O237" s="25"/>
      <c r="P237" s="2"/>
      <c r="Q237" s="2"/>
      <c r="R237" s="2"/>
      <c r="S237" s="2"/>
      <c r="T237" s="26"/>
    </row>
    <row r="238" spans="1:20" ht="20.100000000000001" customHeight="1" x14ac:dyDescent="0.3">
      <c r="A238" s="2"/>
      <c r="B238" s="2"/>
      <c r="C238" s="2"/>
      <c r="D238" s="2"/>
      <c r="E238" s="2"/>
      <c r="F238" s="2"/>
      <c r="G238" s="2"/>
      <c r="H238" s="2"/>
      <c r="I238" s="2"/>
      <c r="J238" s="2"/>
      <c r="K238" s="2"/>
      <c r="L238" s="2"/>
      <c r="M238" s="2"/>
      <c r="N238" s="2"/>
      <c r="O238" s="25"/>
      <c r="P238" s="2"/>
      <c r="Q238" s="2"/>
      <c r="R238" s="2"/>
      <c r="S238" s="2"/>
      <c r="T238" s="26"/>
    </row>
    <row r="239" spans="1:20" ht="20.100000000000001" customHeight="1" x14ac:dyDescent="0.3">
      <c r="A239" s="2"/>
      <c r="B239" s="2"/>
      <c r="C239" s="2"/>
      <c r="D239" s="2"/>
      <c r="E239" s="2"/>
      <c r="F239" s="2"/>
      <c r="G239" s="2"/>
      <c r="H239" s="2"/>
      <c r="I239" s="2"/>
      <c r="J239" s="2"/>
      <c r="K239" s="2"/>
      <c r="L239" s="2"/>
      <c r="M239" s="2"/>
      <c r="N239" s="2"/>
      <c r="O239" s="25"/>
      <c r="P239" s="2"/>
      <c r="Q239" s="2"/>
      <c r="R239" s="2"/>
      <c r="S239" s="2"/>
      <c r="T239" s="26"/>
    </row>
    <row r="240" spans="1:20" ht="20.100000000000001" customHeight="1" x14ac:dyDescent="0.3">
      <c r="A240" s="2"/>
      <c r="B240" s="2"/>
      <c r="C240" s="2"/>
      <c r="D240" s="2"/>
      <c r="E240" s="2"/>
      <c r="F240" s="2"/>
      <c r="G240" s="2"/>
      <c r="H240" s="2"/>
      <c r="I240" s="2"/>
      <c r="J240" s="2"/>
      <c r="K240" s="2"/>
      <c r="L240" s="2"/>
      <c r="M240" s="2"/>
      <c r="N240" s="2"/>
      <c r="O240" s="25"/>
      <c r="P240" s="2"/>
      <c r="Q240" s="2"/>
      <c r="R240" s="2"/>
      <c r="S240" s="2"/>
      <c r="T240" s="26"/>
    </row>
    <row r="241" spans="1:20" ht="20.100000000000001" customHeight="1" x14ac:dyDescent="0.3">
      <c r="A241" s="2"/>
      <c r="B241" s="2"/>
      <c r="C241" s="2"/>
      <c r="D241" s="2"/>
      <c r="E241" s="2"/>
      <c r="F241" s="2"/>
      <c r="G241" s="2"/>
      <c r="H241" s="2"/>
      <c r="I241" s="2"/>
      <c r="J241" s="2"/>
      <c r="K241" s="2"/>
      <c r="L241" s="2"/>
      <c r="M241" s="2"/>
      <c r="N241" s="2"/>
      <c r="O241" s="25"/>
      <c r="P241" s="2"/>
      <c r="Q241" s="2"/>
      <c r="R241" s="2"/>
      <c r="S241" s="2"/>
      <c r="T241" s="26"/>
    </row>
    <row r="242" spans="1:20" ht="20.100000000000001" customHeight="1" x14ac:dyDescent="0.3">
      <c r="A242" s="2"/>
      <c r="B242" s="2"/>
      <c r="C242" s="2"/>
      <c r="D242" s="2"/>
      <c r="E242" s="2"/>
      <c r="F242" s="2"/>
      <c r="G242" s="2"/>
      <c r="H242" s="2"/>
      <c r="I242" s="2"/>
      <c r="J242" s="2"/>
      <c r="K242" s="2"/>
      <c r="L242" s="2"/>
      <c r="M242" s="2"/>
      <c r="N242" s="2"/>
      <c r="O242" s="25"/>
      <c r="P242" s="2"/>
      <c r="Q242" s="2"/>
      <c r="R242" s="2"/>
      <c r="S242" s="2"/>
      <c r="T242" s="26"/>
    </row>
    <row r="243" spans="1:20" ht="20.100000000000001" customHeight="1" x14ac:dyDescent="0.3">
      <c r="A243" s="2"/>
      <c r="B243" s="2"/>
      <c r="C243" s="2"/>
      <c r="D243" s="2"/>
      <c r="E243" s="2"/>
      <c r="F243" s="2"/>
      <c r="G243" s="2"/>
      <c r="H243" s="2"/>
      <c r="I243" s="2"/>
      <c r="J243" s="2"/>
      <c r="K243" s="2"/>
      <c r="L243" s="2"/>
      <c r="M243" s="2"/>
      <c r="N243" s="2"/>
      <c r="O243" s="25"/>
      <c r="P243" s="2"/>
      <c r="Q243" s="2"/>
      <c r="R243" s="2"/>
      <c r="S243" s="2"/>
      <c r="T243" s="26"/>
    </row>
    <row r="244" spans="1:20" ht="20.100000000000001" customHeight="1" x14ac:dyDescent="0.3">
      <c r="A244" s="2"/>
      <c r="B244" s="2"/>
      <c r="C244" s="2"/>
      <c r="D244" s="2"/>
      <c r="E244" s="2"/>
      <c r="F244" s="2"/>
      <c r="G244" s="2"/>
      <c r="H244" s="2"/>
      <c r="I244" s="2"/>
      <c r="J244" s="2"/>
      <c r="K244" s="2"/>
      <c r="L244" s="2"/>
      <c r="M244" s="2"/>
      <c r="N244" s="2"/>
      <c r="O244" s="25"/>
      <c r="P244" s="2"/>
      <c r="Q244" s="2"/>
      <c r="R244" s="2"/>
      <c r="S244" s="2"/>
      <c r="T244" s="26"/>
    </row>
    <row r="245" spans="1:20" ht="20.100000000000001" customHeight="1" x14ac:dyDescent="0.3">
      <c r="A245" s="2"/>
      <c r="B245" s="2"/>
      <c r="C245" s="2"/>
      <c r="D245" s="2"/>
      <c r="E245" s="2"/>
      <c r="F245" s="2"/>
      <c r="G245" s="2"/>
      <c r="H245" s="2"/>
      <c r="I245" s="2"/>
      <c r="J245" s="2"/>
      <c r="K245" s="2"/>
      <c r="L245" s="2"/>
      <c r="M245" s="2"/>
      <c r="N245" s="2"/>
      <c r="O245" s="25"/>
      <c r="P245" s="2"/>
      <c r="Q245" s="2"/>
      <c r="R245" s="2"/>
      <c r="S245" s="2"/>
      <c r="T245" s="26"/>
    </row>
    <row r="246" spans="1:20" ht="20.100000000000001" customHeight="1" x14ac:dyDescent="0.3">
      <c r="A246" s="2"/>
      <c r="B246" s="2"/>
      <c r="C246" s="2"/>
      <c r="D246" s="2"/>
      <c r="E246" s="2"/>
      <c r="F246" s="2"/>
      <c r="G246" s="2"/>
      <c r="H246" s="2"/>
      <c r="I246" s="2"/>
      <c r="J246" s="2"/>
      <c r="K246" s="2"/>
      <c r="L246" s="2"/>
      <c r="M246" s="2"/>
      <c r="N246" s="2"/>
      <c r="O246" s="25"/>
      <c r="P246" s="2"/>
      <c r="Q246" s="2"/>
      <c r="R246" s="2"/>
      <c r="S246" s="2"/>
      <c r="T246" s="26"/>
    </row>
    <row r="247" spans="1:20" ht="20.100000000000001" customHeight="1" x14ac:dyDescent="0.3">
      <c r="A247" s="2"/>
      <c r="B247" s="2"/>
      <c r="C247" s="2"/>
      <c r="D247" s="2"/>
      <c r="E247" s="2"/>
      <c r="F247" s="2"/>
      <c r="G247" s="2"/>
      <c r="H247" s="2"/>
      <c r="I247" s="2"/>
      <c r="J247" s="2"/>
      <c r="K247" s="2"/>
      <c r="L247" s="2"/>
      <c r="M247" s="2"/>
      <c r="N247" s="2"/>
      <c r="O247" s="25"/>
      <c r="P247" s="2"/>
      <c r="Q247" s="2"/>
      <c r="R247" s="2"/>
      <c r="S247" s="2"/>
      <c r="T247" s="26"/>
    </row>
    <row r="248" spans="1:20" ht="20.100000000000001" customHeight="1" x14ac:dyDescent="0.3">
      <c r="A248" s="2"/>
      <c r="B248" s="2"/>
      <c r="C248" s="2"/>
      <c r="D248" s="2"/>
      <c r="E248" s="2"/>
      <c r="F248" s="2"/>
      <c r="G248" s="2"/>
      <c r="H248" s="2"/>
      <c r="I248" s="2"/>
      <c r="J248" s="2"/>
      <c r="K248" s="2"/>
      <c r="L248" s="2"/>
      <c r="M248" s="2"/>
      <c r="N248" s="2"/>
      <c r="O248" s="25"/>
      <c r="P248" s="2"/>
      <c r="Q248" s="2"/>
      <c r="R248" s="2"/>
      <c r="S248" s="2"/>
      <c r="T248" s="26"/>
    </row>
    <row r="249" spans="1:20" ht="20.100000000000001" customHeight="1" x14ac:dyDescent="0.3">
      <c r="A249" s="2"/>
      <c r="B249" s="2"/>
      <c r="C249" s="2"/>
      <c r="D249" s="2"/>
      <c r="E249" s="2"/>
      <c r="F249" s="2"/>
      <c r="G249" s="2"/>
      <c r="H249" s="2"/>
      <c r="I249" s="2"/>
      <c r="J249" s="2"/>
      <c r="K249" s="2"/>
      <c r="L249" s="2"/>
      <c r="M249" s="2"/>
      <c r="N249" s="2"/>
      <c r="O249" s="25"/>
      <c r="P249" s="2"/>
      <c r="Q249" s="2"/>
      <c r="R249" s="2"/>
      <c r="S249" s="2"/>
      <c r="T249" s="26"/>
    </row>
    <row r="250" spans="1:20" ht="20.100000000000001" customHeight="1" x14ac:dyDescent="0.3">
      <c r="A250" s="2"/>
      <c r="B250" s="2"/>
      <c r="C250" s="2"/>
      <c r="D250" s="2"/>
      <c r="E250" s="2"/>
      <c r="F250" s="2"/>
      <c r="G250" s="2"/>
      <c r="H250" s="2"/>
      <c r="I250" s="2"/>
      <c r="J250" s="2"/>
      <c r="K250" s="2"/>
      <c r="L250" s="2"/>
      <c r="M250" s="2"/>
      <c r="N250" s="2"/>
      <c r="O250" s="25"/>
      <c r="P250" s="2"/>
      <c r="Q250" s="2"/>
      <c r="R250" s="2"/>
      <c r="S250" s="2"/>
      <c r="T250" s="26"/>
    </row>
    <row r="251" spans="1:20" ht="20.100000000000001" customHeight="1" x14ac:dyDescent="0.3">
      <c r="A251" s="2"/>
      <c r="B251" s="2"/>
      <c r="C251" s="2"/>
      <c r="D251" s="2"/>
      <c r="E251" s="2"/>
      <c r="F251" s="2"/>
      <c r="G251" s="2"/>
      <c r="H251" s="2"/>
      <c r="I251" s="2"/>
      <c r="J251" s="2"/>
      <c r="K251" s="2"/>
      <c r="L251" s="2"/>
      <c r="M251" s="2"/>
      <c r="N251" s="2"/>
      <c r="O251" s="25"/>
      <c r="P251" s="2"/>
      <c r="Q251" s="2"/>
      <c r="R251" s="2"/>
      <c r="S251" s="2"/>
      <c r="T251" s="26"/>
    </row>
    <row r="252" spans="1:20" ht="20.100000000000001" customHeight="1" x14ac:dyDescent="0.3">
      <c r="A252" s="2"/>
      <c r="B252" s="2"/>
      <c r="C252" s="2"/>
      <c r="D252" s="2"/>
      <c r="E252" s="2"/>
      <c r="F252" s="2"/>
      <c r="G252" s="2"/>
      <c r="H252" s="2"/>
      <c r="I252" s="2"/>
      <c r="J252" s="2"/>
      <c r="K252" s="2"/>
      <c r="L252" s="2"/>
      <c r="M252" s="2"/>
      <c r="N252" s="2"/>
      <c r="O252" s="25"/>
      <c r="P252" s="2"/>
      <c r="Q252" s="2"/>
      <c r="R252" s="2"/>
      <c r="S252" s="2"/>
      <c r="T252" s="26"/>
    </row>
    <row r="253" spans="1:20" ht="20.100000000000001" customHeight="1" x14ac:dyDescent="0.3">
      <c r="A253" s="2"/>
      <c r="B253" s="2"/>
      <c r="C253" s="2"/>
      <c r="D253" s="2"/>
      <c r="E253" s="2"/>
      <c r="F253" s="2"/>
      <c r="G253" s="2"/>
      <c r="H253" s="2"/>
      <c r="I253" s="2"/>
      <c r="J253" s="2"/>
      <c r="K253" s="2"/>
      <c r="L253" s="2"/>
      <c r="M253" s="2"/>
      <c r="N253" s="2"/>
      <c r="O253" s="25"/>
      <c r="P253" s="2"/>
      <c r="Q253" s="2"/>
      <c r="R253" s="2"/>
      <c r="S253" s="2"/>
      <c r="T253" s="26"/>
    </row>
    <row r="254" spans="1:20" ht="20.100000000000001" customHeight="1" x14ac:dyDescent="0.3">
      <c r="A254" s="2"/>
      <c r="B254" s="2"/>
      <c r="C254" s="2"/>
      <c r="D254" s="2"/>
      <c r="E254" s="2"/>
      <c r="F254" s="2"/>
      <c r="G254" s="2"/>
      <c r="H254" s="2"/>
      <c r="I254" s="2"/>
      <c r="J254" s="2"/>
      <c r="K254" s="2"/>
      <c r="L254" s="2"/>
      <c r="M254" s="2"/>
      <c r="N254" s="2"/>
      <c r="O254" s="25"/>
      <c r="P254" s="2"/>
      <c r="Q254" s="2"/>
      <c r="R254" s="2"/>
      <c r="S254" s="2"/>
      <c r="T254" s="26"/>
    </row>
    <row r="255" spans="1:20" ht="20.100000000000001" customHeight="1" x14ac:dyDescent="0.3">
      <c r="A255" s="2"/>
      <c r="B255" s="2"/>
      <c r="C255" s="2"/>
      <c r="D255" s="2"/>
      <c r="E255" s="2"/>
      <c r="F255" s="2"/>
      <c r="G255" s="2"/>
      <c r="H255" s="2"/>
      <c r="I255" s="2"/>
      <c r="J255" s="2"/>
      <c r="K255" s="2"/>
      <c r="L255" s="2"/>
      <c r="M255" s="2"/>
      <c r="N255" s="2"/>
      <c r="O255" s="25"/>
      <c r="P255" s="2"/>
      <c r="Q255" s="2"/>
      <c r="R255" s="2"/>
      <c r="S255" s="2"/>
      <c r="T255" s="26"/>
    </row>
    <row r="256" spans="1:20" ht="20.100000000000001" customHeight="1" x14ac:dyDescent="0.3">
      <c r="A256" s="2"/>
      <c r="B256" s="2"/>
      <c r="C256" s="2"/>
      <c r="D256" s="2"/>
      <c r="E256" s="2"/>
      <c r="F256" s="2"/>
      <c r="G256" s="2"/>
      <c r="H256" s="2"/>
      <c r="I256" s="2"/>
      <c r="J256" s="2"/>
      <c r="K256" s="2"/>
      <c r="L256" s="2"/>
      <c r="M256" s="2"/>
      <c r="N256" s="2"/>
      <c r="O256" s="25"/>
      <c r="P256" s="2"/>
      <c r="Q256" s="2"/>
      <c r="R256" s="2"/>
      <c r="S256" s="2"/>
      <c r="T256" s="26"/>
    </row>
    <row r="257" spans="1:20" ht="20.100000000000001" customHeight="1" x14ac:dyDescent="0.3">
      <c r="A257" s="2"/>
      <c r="B257" s="2"/>
      <c r="C257" s="2"/>
      <c r="D257" s="2"/>
      <c r="E257" s="2"/>
      <c r="F257" s="2"/>
      <c r="G257" s="2"/>
      <c r="H257" s="2"/>
      <c r="I257" s="2"/>
      <c r="J257" s="2"/>
      <c r="K257" s="2"/>
      <c r="L257" s="2"/>
      <c r="M257" s="2"/>
      <c r="N257" s="2"/>
      <c r="O257" s="25"/>
      <c r="P257" s="2"/>
      <c r="Q257" s="2"/>
      <c r="R257" s="2"/>
      <c r="S257" s="2"/>
      <c r="T257" s="26"/>
    </row>
    <row r="258" spans="1:20" ht="20.100000000000001" customHeight="1" x14ac:dyDescent="0.3">
      <c r="A258" s="2"/>
      <c r="B258" s="2"/>
      <c r="C258" s="2"/>
      <c r="D258" s="2"/>
      <c r="E258" s="2"/>
      <c r="F258" s="2"/>
      <c r="G258" s="2"/>
      <c r="H258" s="2"/>
      <c r="I258" s="2"/>
      <c r="J258" s="2"/>
      <c r="K258" s="2"/>
      <c r="L258" s="2"/>
      <c r="M258" s="2"/>
      <c r="N258" s="2"/>
      <c r="O258" s="25"/>
      <c r="P258" s="2"/>
      <c r="Q258" s="2"/>
      <c r="R258" s="2"/>
      <c r="S258" s="2"/>
      <c r="T258" s="26"/>
    </row>
    <row r="259" spans="1:20" ht="20.100000000000001" customHeight="1" x14ac:dyDescent="0.3">
      <c r="A259" s="2"/>
      <c r="B259" s="2"/>
      <c r="C259" s="2"/>
      <c r="D259" s="2"/>
      <c r="E259" s="2"/>
      <c r="F259" s="2"/>
      <c r="G259" s="2"/>
      <c r="H259" s="2"/>
      <c r="I259" s="2"/>
      <c r="J259" s="2"/>
      <c r="K259" s="2"/>
      <c r="L259" s="2"/>
      <c r="M259" s="2"/>
      <c r="N259" s="2"/>
      <c r="O259" s="25"/>
      <c r="P259" s="2"/>
      <c r="Q259" s="2"/>
      <c r="R259" s="2"/>
      <c r="S259" s="2"/>
      <c r="T259" s="26"/>
    </row>
    <row r="260" spans="1:20" ht="20.100000000000001" customHeight="1" x14ac:dyDescent="0.3">
      <c r="A260" s="2"/>
      <c r="B260" s="2"/>
      <c r="C260" s="2"/>
      <c r="D260" s="2"/>
      <c r="E260" s="2"/>
      <c r="F260" s="2"/>
      <c r="G260" s="2"/>
      <c r="H260" s="2"/>
      <c r="I260" s="2"/>
      <c r="J260" s="2"/>
      <c r="K260" s="2"/>
      <c r="L260" s="2"/>
      <c r="M260" s="2"/>
      <c r="N260" s="2"/>
      <c r="O260" s="25"/>
      <c r="P260" s="2"/>
      <c r="Q260" s="2"/>
      <c r="R260" s="2"/>
      <c r="S260" s="2"/>
      <c r="T260" s="26"/>
    </row>
    <row r="261" spans="1:20" ht="20.100000000000001" customHeight="1" x14ac:dyDescent="0.3">
      <c r="A261" s="2"/>
      <c r="B261" s="2"/>
      <c r="C261" s="2"/>
      <c r="D261" s="2"/>
      <c r="E261" s="2"/>
      <c r="F261" s="2"/>
      <c r="G261" s="2"/>
      <c r="H261" s="2"/>
      <c r="I261" s="2"/>
      <c r="J261" s="2"/>
      <c r="K261" s="2"/>
      <c r="L261" s="2"/>
      <c r="M261" s="2"/>
      <c r="N261" s="2"/>
      <c r="O261" s="25"/>
      <c r="P261" s="2"/>
      <c r="Q261" s="2"/>
      <c r="R261" s="2"/>
      <c r="S261" s="2"/>
      <c r="T261" s="26"/>
    </row>
    <row r="262" spans="1:20" ht="20.100000000000001" customHeight="1" x14ac:dyDescent="0.3">
      <c r="A262" s="2"/>
      <c r="B262" s="2"/>
      <c r="C262" s="2"/>
      <c r="D262" s="2"/>
      <c r="E262" s="2"/>
      <c r="F262" s="2"/>
      <c r="G262" s="2"/>
      <c r="H262" s="2"/>
      <c r="I262" s="2"/>
      <c r="J262" s="2"/>
      <c r="K262" s="2"/>
      <c r="L262" s="2"/>
      <c r="M262" s="2"/>
      <c r="N262" s="2"/>
      <c r="O262" s="25"/>
      <c r="P262" s="2"/>
      <c r="Q262" s="2"/>
      <c r="R262" s="2"/>
      <c r="S262" s="2"/>
      <c r="T262" s="26"/>
    </row>
    <row r="263" spans="1:20" ht="20.100000000000001" customHeight="1" x14ac:dyDescent="0.3">
      <c r="A263" s="2"/>
      <c r="B263" s="2"/>
      <c r="C263" s="2"/>
      <c r="D263" s="2"/>
      <c r="E263" s="2"/>
      <c r="F263" s="2"/>
      <c r="G263" s="2"/>
      <c r="H263" s="2"/>
      <c r="I263" s="2"/>
      <c r="J263" s="2"/>
      <c r="K263" s="2"/>
      <c r="L263" s="2"/>
      <c r="M263" s="2"/>
      <c r="N263" s="2"/>
      <c r="O263" s="25"/>
      <c r="P263" s="2"/>
      <c r="Q263" s="2"/>
      <c r="R263" s="2"/>
      <c r="S263" s="2"/>
      <c r="T263" s="26"/>
    </row>
    <row r="264" spans="1:20" ht="20.100000000000001" customHeight="1" x14ac:dyDescent="0.3">
      <c r="A264" s="2"/>
      <c r="B264" s="2"/>
      <c r="C264" s="2"/>
      <c r="D264" s="2"/>
      <c r="E264" s="2"/>
      <c r="F264" s="2"/>
      <c r="G264" s="2"/>
      <c r="H264" s="2"/>
      <c r="I264" s="2"/>
      <c r="J264" s="2"/>
      <c r="K264" s="2"/>
      <c r="L264" s="2"/>
      <c r="M264" s="2"/>
      <c r="N264" s="2"/>
      <c r="O264" s="25"/>
      <c r="P264" s="2"/>
      <c r="Q264" s="2"/>
      <c r="R264" s="2"/>
      <c r="S264" s="2"/>
      <c r="T264" s="26"/>
    </row>
    <row r="265" spans="1:20" ht="20.100000000000001" customHeight="1" x14ac:dyDescent="0.3">
      <c r="A265" s="2"/>
      <c r="B265" s="2"/>
      <c r="C265" s="2"/>
      <c r="D265" s="2"/>
      <c r="E265" s="2"/>
      <c r="F265" s="2"/>
      <c r="G265" s="2"/>
      <c r="H265" s="2"/>
      <c r="I265" s="2"/>
      <c r="J265" s="2"/>
      <c r="K265" s="2"/>
      <c r="L265" s="2"/>
      <c r="M265" s="2"/>
      <c r="N265" s="2"/>
      <c r="O265" s="25"/>
      <c r="P265" s="2"/>
      <c r="Q265" s="2"/>
      <c r="R265" s="2"/>
      <c r="S265" s="2"/>
      <c r="T265" s="26"/>
    </row>
    <row r="266" spans="1:20" ht="20.100000000000001" customHeight="1" x14ac:dyDescent="0.3">
      <c r="A266" s="2"/>
      <c r="B266" s="2"/>
      <c r="C266" s="2"/>
      <c r="D266" s="2"/>
      <c r="E266" s="2"/>
      <c r="F266" s="2"/>
      <c r="G266" s="2"/>
      <c r="H266" s="2"/>
      <c r="I266" s="2"/>
      <c r="J266" s="2"/>
      <c r="K266" s="2"/>
      <c r="L266" s="2"/>
      <c r="M266" s="2"/>
      <c r="N266" s="2"/>
      <c r="O266" s="25"/>
      <c r="P266" s="2"/>
      <c r="Q266" s="2"/>
      <c r="R266" s="2"/>
      <c r="S266" s="2"/>
      <c r="T266" s="26"/>
    </row>
    <row r="267" spans="1:20" ht="20.100000000000001" customHeight="1" x14ac:dyDescent="0.3">
      <c r="A267" s="2"/>
      <c r="B267" s="2"/>
      <c r="C267" s="2"/>
      <c r="D267" s="2"/>
      <c r="E267" s="2"/>
      <c r="F267" s="2"/>
      <c r="G267" s="2"/>
      <c r="H267" s="2"/>
      <c r="I267" s="2"/>
      <c r="J267" s="2"/>
      <c r="K267" s="2"/>
      <c r="L267" s="2"/>
      <c r="M267" s="2"/>
      <c r="N267" s="2"/>
      <c r="O267" s="25"/>
      <c r="P267" s="2"/>
      <c r="Q267" s="2"/>
      <c r="R267" s="2"/>
      <c r="S267" s="2"/>
      <c r="T267" s="26"/>
    </row>
    <row r="268" spans="1:20" ht="20.100000000000001" customHeight="1" x14ac:dyDescent="0.3">
      <c r="A268" s="2"/>
      <c r="B268" s="2"/>
      <c r="C268" s="2"/>
      <c r="D268" s="2"/>
      <c r="E268" s="2"/>
      <c r="F268" s="2"/>
      <c r="G268" s="2"/>
      <c r="H268" s="2"/>
      <c r="I268" s="2"/>
      <c r="J268" s="2"/>
      <c r="K268" s="2"/>
      <c r="L268" s="2"/>
      <c r="M268" s="2"/>
      <c r="N268" s="2"/>
      <c r="O268" s="25"/>
      <c r="P268" s="2"/>
      <c r="Q268" s="2"/>
      <c r="R268" s="2"/>
      <c r="S268" s="2"/>
      <c r="T268" s="26"/>
    </row>
    <row r="269" spans="1:20" ht="20.100000000000001" customHeight="1" x14ac:dyDescent="0.3">
      <c r="A269" s="2"/>
      <c r="B269" s="2"/>
      <c r="C269" s="2"/>
      <c r="D269" s="2"/>
      <c r="E269" s="2"/>
      <c r="F269" s="2"/>
      <c r="G269" s="2"/>
      <c r="H269" s="2"/>
      <c r="I269" s="2"/>
      <c r="J269" s="2"/>
      <c r="K269" s="2"/>
      <c r="L269" s="2"/>
      <c r="M269" s="2"/>
      <c r="N269" s="2"/>
      <c r="O269" s="25"/>
      <c r="P269" s="2"/>
      <c r="Q269" s="2"/>
      <c r="R269" s="2"/>
      <c r="S269" s="2"/>
      <c r="T269" s="26"/>
    </row>
    <row r="270" spans="1:20" ht="20.100000000000001" customHeight="1" x14ac:dyDescent="0.3">
      <c r="A270" s="2"/>
      <c r="B270" s="2"/>
      <c r="C270" s="2"/>
      <c r="D270" s="2"/>
      <c r="E270" s="2"/>
      <c r="F270" s="2"/>
      <c r="G270" s="2"/>
      <c r="H270" s="2"/>
      <c r="I270" s="2"/>
      <c r="J270" s="2"/>
      <c r="K270" s="2"/>
      <c r="L270" s="2"/>
      <c r="M270" s="2"/>
      <c r="N270" s="2"/>
      <c r="O270" s="25"/>
      <c r="P270" s="2"/>
      <c r="Q270" s="2"/>
      <c r="R270" s="2"/>
      <c r="S270" s="2"/>
      <c r="T270" s="26"/>
    </row>
    <row r="271" spans="1:20" ht="20.100000000000001" customHeight="1" x14ac:dyDescent="0.3">
      <c r="A271" s="2"/>
      <c r="B271" s="2"/>
      <c r="C271" s="2"/>
      <c r="D271" s="2"/>
      <c r="E271" s="2"/>
      <c r="F271" s="2"/>
      <c r="G271" s="2"/>
      <c r="H271" s="2"/>
      <c r="I271" s="2"/>
      <c r="J271" s="2"/>
      <c r="K271" s="2"/>
      <c r="L271" s="2"/>
      <c r="M271" s="2"/>
      <c r="N271" s="2"/>
      <c r="O271" s="25"/>
      <c r="P271" s="2"/>
      <c r="Q271" s="2"/>
      <c r="R271" s="2"/>
      <c r="S271" s="2"/>
      <c r="T271" s="26"/>
    </row>
    <row r="272" spans="1:20" ht="20.100000000000001" customHeight="1" x14ac:dyDescent="0.3">
      <c r="A272" s="2"/>
      <c r="B272" s="2"/>
      <c r="C272" s="2"/>
      <c r="D272" s="2"/>
      <c r="E272" s="2"/>
      <c r="F272" s="2"/>
      <c r="G272" s="2"/>
      <c r="H272" s="2"/>
      <c r="I272" s="2"/>
      <c r="J272" s="2"/>
      <c r="K272" s="2"/>
      <c r="L272" s="2"/>
      <c r="M272" s="2"/>
      <c r="N272" s="2"/>
      <c r="O272" s="25"/>
      <c r="P272" s="2"/>
      <c r="Q272" s="2"/>
      <c r="R272" s="2"/>
      <c r="S272" s="2"/>
      <c r="T272" s="26"/>
    </row>
    <row r="273" spans="1:20" ht="20.100000000000001" customHeight="1" x14ac:dyDescent="0.3">
      <c r="A273" s="2"/>
      <c r="B273" s="2"/>
      <c r="C273" s="2"/>
      <c r="D273" s="2"/>
      <c r="E273" s="2"/>
      <c r="F273" s="2"/>
      <c r="G273" s="2"/>
      <c r="H273" s="2"/>
      <c r="I273" s="2"/>
      <c r="J273" s="2"/>
      <c r="K273" s="2"/>
      <c r="L273" s="2"/>
      <c r="M273" s="2"/>
      <c r="N273" s="2"/>
      <c r="O273" s="25"/>
      <c r="P273" s="2"/>
      <c r="Q273" s="2"/>
      <c r="R273" s="2"/>
      <c r="S273" s="2"/>
      <c r="T273" s="26"/>
    </row>
    <row r="274" spans="1:20" ht="20.100000000000001" customHeight="1" x14ac:dyDescent="0.3">
      <c r="A274" s="2"/>
      <c r="B274" s="2"/>
      <c r="C274" s="2"/>
      <c r="D274" s="2"/>
      <c r="E274" s="2"/>
      <c r="F274" s="2"/>
      <c r="G274" s="2"/>
      <c r="H274" s="2"/>
      <c r="I274" s="2"/>
      <c r="J274" s="2"/>
      <c r="K274" s="2"/>
      <c r="L274" s="2"/>
      <c r="M274" s="2"/>
      <c r="N274" s="2"/>
      <c r="O274" s="25"/>
      <c r="P274" s="2"/>
      <c r="Q274" s="2"/>
      <c r="R274" s="2"/>
      <c r="S274" s="2"/>
      <c r="T274" s="26"/>
    </row>
    <row r="275" spans="1:20" ht="20.100000000000001" customHeight="1" x14ac:dyDescent="0.3">
      <c r="A275" s="2"/>
      <c r="B275" s="2"/>
      <c r="C275" s="2"/>
      <c r="D275" s="2"/>
      <c r="E275" s="2"/>
      <c r="F275" s="2"/>
      <c r="G275" s="2"/>
      <c r="H275" s="2"/>
      <c r="I275" s="2"/>
      <c r="J275" s="2"/>
      <c r="K275" s="2"/>
      <c r="L275" s="2"/>
      <c r="M275" s="2"/>
      <c r="N275" s="2"/>
      <c r="O275" s="25"/>
      <c r="P275" s="2"/>
      <c r="Q275" s="2"/>
      <c r="R275" s="2"/>
      <c r="S275" s="2"/>
      <c r="T275" s="26"/>
    </row>
    <row r="276" spans="1:20" ht="20.100000000000001" customHeight="1" x14ac:dyDescent="0.3">
      <c r="A276" s="2"/>
      <c r="B276" s="2"/>
      <c r="C276" s="2"/>
      <c r="D276" s="2"/>
      <c r="E276" s="2"/>
      <c r="F276" s="2"/>
      <c r="G276" s="2"/>
      <c r="H276" s="2"/>
      <c r="I276" s="2"/>
      <c r="J276" s="2"/>
      <c r="K276" s="2"/>
      <c r="L276" s="2"/>
      <c r="M276" s="2"/>
      <c r="N276" s="2"/>
      <c r="O276" s="25"/>
      <c r="P276" s="2"/>
      <c r="Q276" s="2"/>
      <c r="R276" s="2"/>
      <c r="S276" s="2"/>
      <c r="T276" s="26"/>
    </row>
    <row r="277" spans="1:20" ht="20.100000000000001" customHeight="1" x14ac:dyDescent="0.3">
      <c r="A277" s="2"/>
      <c r="B277" s="2"/>
      <c r="C277" s="2"/>
      <c r="D277" s="2"/>
      <c r="E277" s="2"/>
      <c r="F277" s="2"/>
      <c r="G277" s="2"/>
      <c r="H277" s="2"/>
      <c r="I277" s="2"/>
      <c r="J277" s="2"/>
      <c r="K277" s="2"/>
      <c r="L277" s="2"/>
      <c r="M277" s="2"/>
      <c r="N277" s="2"/>
      <c r="O277" s="25"/>
      <c r="P277" s="2"/>
      <c r="Q277" s="2"/>
      <c r="R277" s="2"/>
      <c r="S277" s="2"/>
      <c r="T277" s="26"/>
    </row>
    <row r="278" spans="1:20" ht="20.100000000000001" customHeight="1" x14ac:dyDescent="0.3">
      <c r="A278" s="2"/>
      <c r="B278" s="2"/>
      <c r="C278" s="2"/>
      <c r="D278" s="2"/>
      <c r="E278" s="2"/>
      <c r="F278" s="2"/>
      <c r="G278" s="2"/>
      <c r="H278" s="2"/>
      <c r="I278" s="2"/>
      <c r="J278" s="2"/>
      <c r="K278" s="2"/>
      <c r="L278" s="2"/>
      <c r="M278" s="2"/>
      <c r="N278" s="2"/>
      <c r="O278" s="25"/>
      <c r="P278" s="2"/>
      <c r="Q278" s="2"/>
      <c r="R278" s="2"/>
      <c r="S278" s="2"/>
      <c r="T278" s="26"/>
    </row>
    <row r="279" spans="1:20" ht="20.100000000000001" customHeight="1" x14ac:dyDescent="0.3">
      <c r="A279" s="2"/>
      <c r="B279" s="2"/>
      <c r="C279" s="2"/>
      <c r="D279" s="2"/>
      <c r="E279" s="2"/>
      <c r="F279" s="2"/>
      <c r="G279" s="2"/>
      <c r="H279" s="2"/>
      <c r="I279" s="2"/>
      <c r="J279" s="2"/>
      <c r="K279" s="2"/>
      <c r="L279" s="2"/>
      <c r="M279" s="2"/>
      <c r="N279" s="2"/>
      <c r="O279" s="25"/>
      <c r="P279" s="2"/>
      <c r="Q279" s="2"/>
      <c r="R279" s="2"/>
      <c r="S279" s="2"/>
      <c r="T279" s="26"/>
    </row>
    <row r="280" spans="1:20" ht="20.100000000000001" customHeight="1" x14ac:dyDescent="0.3">
      <c r="A280" s="2"/>
      <c r="B280" s="2"/>
      <c r="C280" s="2"/>
      <c r="D280" s="2"/>
      <c r="E280" s="2"/>
      <c r="F280" s="2"/>
      <c r="G280" s="2"/>
      <c r="H280" s="2"/>
      <c r="I280" s="2"/>
      <c r="J280" s="2"/>
      <c r="K280" s="2"/>
      <c r="L280" s="2"/>
      <c r="M280" s="2"/>
      <c r="N280" s="2"/>
      <c r="O280" s="25"/>
      <c r="P280" s="2"/>
      <c r="Q280" s="2"/>
      <c r="R280" s="2"/>
      <c r="S280" s="2"/>
      <c r="T280" s="26"/>
    </row>
    <row r="281" spans="1:20" ht="20.100000000000001" customHeight="1" x14ac:dyDescent="0.3">
      <c r="A281" s="2"/>
      <c r="B281" s="2"/>
      <c r="C281" s="2"/>
      <c r="D281" s="2"/>
      <c r="E281" s="2"/>
      <c r="F281" s="2"/>
      <c r="G281" s="2"/>
      <c r="H281" s="2"/>
      <c r="I281" s="2"/>
      <c r="J281" s="2"/>
      <c r="K281" s="2"/>
      <c r="L281" s="2"/>
      <c r="M281" s="2"/>
      <c r="N281" s="2"/>
      <c r="O281" s="25"/>
      <c r="P281" s="2"/>
      <c r="Q281" s="2"/>
      <c r="R281" s="2"/>
      <c r="S281" s="2"/>
      <c r="T281" s="26"/>
    </row>
    <row r="282" spans="1:20" ht="20.100000000000001" customHeight="1" x14ac:dyDescent="0.3">
      <c r="A282" s="2"/>
      <c r="B282" s="2"/>
      <c r="C282" s="2"/>
      <c r="D282" s="2"/>
      <c r="E282" s="2"/>
      <c r="F282" s="2"/>
      <c r="G282" s="2"/>
      <c r="H282" s="2"/>
      <c r="I282" s="2"/>
      <c r="J282" s="2"/>
      <c r="K282" s="2"/>
      <c r="L282" s="2"/>
      <c r="M282" s="2"/>
      <c r="N282" s="2"/>
      <c r="O282" s="25"/>
      <c r="P282" s="2"/>
      <c r="Q282" s="2"/>
      <c r="R282" s="2"/>
      <c r="S282" s="2"/>
      <c r="T282" s="26"/>
    </row>
    <row r="283" spans="1:20" ht="20.100000000000001" customHeight="1" x14ac:dyDescent="0.3">
      <c r="A283" s="2"/>
      <c r="B283" s="2"/>
      <c r="C283" s="2"/>
      <c r="D283" s="2"/>
      <c r="E283" s="2"/>
      <c r="F283" s="2"/>
      <c r="G283" s="2"/>
      <c r="H283" s="2"/>
      <c r="I283" s="2"/>
      <c r="J283" s="2"/>
      <c r="K283" s="2"/>
      <c r="L283" s="2"/>
      <c r="M283" s="2"/>
      <c r="N283" s="2"/>
      <c r="O283" s="25"/>
      <c r="P283" s="2"/>
      <c r="Q283" s="2"/>
      <c r="R283" s="2"/>
      <c r="S283" s="2"/>
      <c r="T283" s="26"/>
    </row>
    <row r="284" spans="1:20" ht="20.100000000000001" customHeight="1" x14ac:dyDescent="0.3">
      <c r="A284" s="2"/>
      <c r="B284" s="2"/>
      <c r="C284" s="2"/>
      <c r="D284" s="2"/>
      <c r="E284" s="2"/>
      <c r="F284" s="2"/>
      <c r="G284" s="2"/>
      <c r="H284" s="2"/>
      <c r="I284" s="2"/>
      <c r="J284" s="2"/>
      <c r="K284" s="2"/>
      <c r="L284" s="2"/>
      <c r="M284" s="2"/>
      <c r="N284" s="2"/>
      <c r="O284" s="25"/>
      <c r="P284" s="2"/>
      <c r="Q284" s="2"/>
      <c r="R284" s="2"/>
      <c r="S284" s="2"/>
      <c r="T284" s="26"/>
    </row>
    <row r="285" spans="1:20" ht="20.100000000000001" customHeight="1" x14ac:dyDescent="0.3">
      <c r="A285" s="2"/>
      <c r="B285" s="2"/>
      <c r="C285" s="2"/>
      <c r="D285" s="2"/>
      <c r="E285" s="2"/>
      <c r="F285" s="2"/>
      <c r="G285" s="2"/>
      <c r="H285" s="2"/>
      <c r="I285" s="2"/>
      <c r="J285" s="2"/>
      <c r="K285" s="2"/>
      <c r="L285" s="2"/>
      <c r="M285" s="2"/>
      <c r="N285" s="2"/>
      <c r="O285" s="25"/>
      <c r="P285" s="2"/>
      <c r="Q285" s="2"/>
      <c r="R285" s="2"/>
      <c r="S285" s="2"/>
      <c r="T285" s="26"/>
    </row>
    <row r="286" spans="1:20" ht="20.100000000000001" customHeight="1" x14ac:dyDescent="0.3">
      <c r="A286" s="2"/>
      <c r="B286" s="2"/>
      <c r="C286" s="2"/>
      <c r="D286" s="2"/>
      <c r="E286" s="2"/>
      <c r="F286" s="2"/>
      <c r="G286" s="2"/>
      <c r="H286" s="2"/>
      <c r="I286" s="2"/>
      <c r="J286" s="2"/>
      <c r="K286" s="2"/>
      <c r="L286" s="2"/>
      <c r="M286" s="2"/>
      <c r="N286" s="2"/>
      <c r="O286" s="25"/>
      <c r="P286" s="2"/>
      <c r="Q286" s="2"/>
      <c r="R286" s="2"/>
      <c r="S286" s="2"/>
      <c r="T286" s="26"/>
    </row>
    <row r="287" spans="1:20" ht="20.100000000000001" customHeight="1" x14ac:dyDescent="0.3">
      <c r="A287" s="2"/>
      <c r="B287" s="2"/>
      <c r="C287" s="2"/>
      <c r="D287" s="2"/>
      <c r="E287" s="2"/>
      <c r="F287" s="2"/>
      <c r="G287" s="2"/>
      <c r="H287" s="2"/>
      <c r="I287" s="2"/>
      <c r="J287" s="2"/>
      <c r="K287" s="2"/>
      <c r="L287" s="2"/>
      <c r="M287" s="2"/>
      <c r="N287" s="2"/>
      <c r="O287" s="25"/>
      <c r="P287" s="2"/>
      <c r="Q287" s="2"/>
      <c r="R287" s="2"/>
      <c r="S287" s="2"/>
      <c r="T287" s="26"/>
    </row>
    <row r="288" spans="1:20" ht="20.100000000000001" customHeight="1" x14ac:dyDescent="0.3">
      <c r="A288" s="2"/>
      <c r="B288" s="2"/>
      <c r="C288" s="2"/>
      <c r="D288" s="2"/>
      <c r="E288" s="2"/>
      <c r="F288" s="2"/>
      <c r="G288" s="2"/>
      <c r="H288" s="2"/>
      <c r="I288" s="2"/>
      <c r="J288" s="2"/>
      <c r="K288" s="2"/>
      <c r="L288" s="2"/>
      <c r="M288" s="2"/>
      <c r="N288" s="2"/>
      <c r="O288" s="25"/>
      <c r="P288" s="2"/>
      <c r="Q288" s="2"/>
      <c r="R288" s="2"/>
      <c r="S288" s="2"/>
      <c r="T288" s="26"/>
    </row>
    <row r="289" spans="1:20" ht="20.100000000000001" customHeight="1" x14ac:dyDescent="0.3">
      <c r="A289" s="2"/>
      <c r="B289" s="2"/>
      <c r="C289" s="2"/>
      <c r="D289" s="2"/>
      <c r="E289" s="2"/>
      <c r="F289" s="2"/>
      <c r="G289" s="2"/>
      <c r="H289" s="2"/>
      <c r="I289" s="2"/>
      <c r="J289" s="2"/>
      <c r="K289" s="2"/>
      <c r="L289" s="2"/>
      <c r="M289" s="2"/>
      <c r="N289" s="2"/>
      <c r="O289" s="25"/>
      <c r="P289" s="2"/>
      <c r="Q289" s="2"/>
      <c r="R289" s="2"/>
      <c r="S289" s="2"/>
      <c r="T289" s="26"/>
    </row>
    <row r="290" spans="1:20" ht="20.100000000000001" customHeight="1" x14ac:dyDescent="0.3">
      <c r="A290" s="2"/>
      <c r="B290" s="2"/>
      <c r="C290" s="2"/>
      <c r="D290" s="2"/>
      <c r="E290" s="2"/>
      <c r="F290" s="2"/>
      <c r="G290" s="2"/>
      <c r="H290" s="2"/>
      <c r="I290" s="2"/>
      <c r="J290" s="2"/>
      <c r="K290" s="2"/>
      <c r="L290" s="2"/>
      <c r="M290" s="2"/>
      <c r="N290" s="2"/>
      <c r="O290" s="25"/>
      <c r="P290" s="2"/>
      <c r="Q290" s="2"/>
      <c r="R290" s="2"/>
      <c r="S290" s="2"/>
      <c r="T290" s="26"/>
    </row>
    <row r="291" spans="1:20" ht="20.100000000000001" customHeight="1" x14ac:dyDescent="0.3">
      <c r="A291" s="2"/>
      <c r="B291" s="2"/>
      <c r="C291" s="2"/>
      <c r="D291" s="2"/>
      <c r="E291" s="2"/>
      <c r="F291" s="2"/>
      <c r="G291" s="2"/>
      <c r="H291" s="2"/>
      <c r="I291" s="2"/>
      <c r="J291" s="2"/>
      <c r="K291" s="2"/>
      <c r="L291" s="2"/>
      <c r="M291" s="2"/>
      <c r="N291" s="2"/>
      <c r="O291" s="25"/>
      <c r="P291" s="2"/>
      <c r="Q291" s="2"/>
      <c r="R291" s="2"/>
      <c r="S291" s="2"/>
      <c r="T291" s="26"/>
    </row>
    <row r="292" spans="1:20" ht="20.100000000000001" customHeight="1" x14ac:dyDescent="0.3">
      <c r="A292" s="2"/>
      <c r="B292" s="2"/>
      <c r="C292" s="2"/>
      <c r="D292" s="2"/>
      <c r="E292" s="2"/>
      <c r="F292" s="2"/>
      <c r="G292" s="2"/>
      <c r="H292" s="2"/>
      <c r="I292" s="2"/>
      <c r="J292" s="2"/>
      <c r="K292" s="2"/>
      <c r="L292" s="2"/>
      <c r="M292" s="2"/>
      <c r="N292" s="2"/>
      <c r="O292" s="25"/>
      <c r="P292" s="2"/>
      <c r="Q292" s="2"/>
      <c r="R292" s="2"/>
      <c r="S292" s="2"/>
      <c r="T292" s="26"/>
    </row>
    <row r="293" spans="1:20" ht="20.100000000000001" customHeight="1" x14ac:dyDescent="0.3">
      <c r="A293" s="2"/>
      <c r="B293" s="2"/>
      <c r="C293" s="2"/>
      <c r="D293" s="2"/>
      <c r="E293" s="2"/>
      <c r="F293" s="2"/>
      <c r="G293" s="2"/>
      <c r="H293" s="2"/>
      <c r="I293" s="2"/>
      <c r="J293" s="2"/>
      <c r="K293" s="2"/>
      <c r="L293" s="2"/>
      <c r="M293" s="2"/>
      <c r="N293" s="2"/>
      <c r="O293" s="25"/>
      <c r="P293" s="2"/>
      <c r="Q293" s="2"/>
      <c r="R293" s="2"/>
      <c r="S293" s="2"/>
      <c r="T293" s="26"/>
    </row>
    <row r="294" spans="1:20" ht="20.100000000000001" customHeight="1" x14ac:dyDescent="0.3">
      <c r="T294" s="26"/>
    </row>
    <row r="295" spans="1:20" ht="20.100000000000001" customHeight="1" x14ac:dyDescent="0.3">
      <c r="T295" s="26"/>
    </row>
    <row r="296" spans="1:20" ht="20.100000000000001" customHeight="1" x14ac:dyDescent="0.3">
      <c r="T296" s="26"/>
    </row>
    <row r="297" spans="1:20" ht="20.100000000000001" customHeight="1" x14ac:dyDescent="0.3">
      <c r="T297" s="26"/>
    </row>
    <row r="298" spans="1:20" ht="20.100000000000001" customHeight="1" x14ac:dyDescent="0.3">
      <c r="T298" s="26"/>
    </row>
    <row r="299" spans="1:20" ht="20.100000000000001" customHeight="1" x14ac:dyDescent="0.3">
      <c r="T299" s="26"/>
    </row>
    <row r="300" spans="1:20" ht="20.100000000000001" customHeight="1" x14ac:dyDescent="0.3">
      <c r="T300" s="26"/>
    </row>
    <row r="301" spans="1:20" ht="20.100000000000001" customHeight="1" x14ac:dyDescent="0.3">
      <c r="T301" s="26"/>
    </row>
    <row r="302" spans="1:20" ht="20.100000000000001" customHeight="1" x14ac:dyDescent="0.3">
      <c r="T302" s="26"/>
    </row>
    <row r="303" spans="1:20" ht="20.100000000000001" customHeight="1" x14ac:dyDescent="0.3">
      <c r="T303" s="26"/>
    </row>
    <row r="304" spans="1:20" ht="20.100000000000001" customHeight="1" x14ac:dyDescent="0.3">
      <c r="T304" s="26"/>
    </row>
    <row r="305" spans="20:20" ht="20.100000000000001" customHeight="1" x14ac:dyDescent="0.3">
      <c r="T305" s="26"/>
    </row>
    <row r="306" spans="20:20" ht="20.100000000000001" customHeight="1" x14ac:dyDescent="0.3">
      <c r="T306" s="26"/>
    </row>
    <row r="307" spans="20:20" ht="20.100000000000001" customHeight="1" x14ac:dyDescent="0.3">
      <c r="T307" s="26"/>
    </row>
    <row r="308" spans="20:20" ht="20.100000000000001" customHeight="1" x14ac:dyDescent="0.3">
      <c r="T308" s="26"/>
    </row>
    <row r="309" spans="20:20" ht="20.100000000000001" customHeight="1" x14ac:dyDescent="0.3">
      <c r="T309" s="26"/>
    </row>
    <row r="310" spans="20:20" ht="20.100000000000001" customHeight="1" x14ac:dyDescent="0.3">
      <c r="T310" s="26"/>
    </row>
    <row r="311" spans="20:20" ht="20.100000000000001" customHeight="1" x14ac:dyDescent="0.3">
      <c r="T311" s="26"/>
    </row>
    <row r="312" spans="20:20" ht="20.100000000000001" customHeight="1" x14ac:dyDescent="0.3">
      <c r="T312" s="26"/>
    </row>
    <row r="313" spans="20:20" ht="20.100000000000001" customHeight="1" x14ac:dyDescent="0.3">
      <c r="T313" s="26"/>
    </row>
    <row r="314" spans="20:20" ht="20.100000000000001" customHeight="1" x14ac:dyDescent="0.3">
      <c r="T314" s="26"/>
    </row>
    <row r="315" spans="20:20" ht="20.100000000000001" customHeight="1" x14ac:dyDescent="0.3">
      <c r="T315" s="26"/>
    </row>
    <row r="316" spans="20:20" ht="20.100000000000001" customHeight="1" x14ac:dyDescent="0.3">
      <c r="T316" s="26"/>
    </row>
    <row r="317" spans="20:20" ht="20.100000000000001" customHeight="1" x14ac:dyDescent="0.3">
      <c r="T317" s="26"/>
    </row>
    <row r="318" spans="20:20" ht="20.100000000000001" customHeight="1" x14ac:dyDescent="0.3">
      <c r="T318" s="26"/>
    </row>
    <row r="319" spans="20:20" ht="20.100000000000001" customHeight="1" x14ac:dyDescent="0.3">
      <c r="T319" s="26"/>
    </row>
    <row r="320" spans="20:20" ht="20.100000000000001" customHeight="1" x14ac:dyDescent="0.3">
      <c r="T320" s="26"/>
    </row>
    <row r="321" spans="20:20" ht="20.100000000000001" customHeight="1" x14ac:dyDescent="0.3">
      <c r="T321" s="26"/>
    </row>
    <row r="322" spans="20:20" ht="20.100000000000001" customHeight="1" x14ac:dyDescent="0.3">
      <c r="T322" s="26"/>
    </row>
    <row r="323" spans="20:20" ht="20.100000000000001" customHeight="1" x14ac:dyDescent="0.3">
      <c r="T323" s="26"/>
    </row>
    <row r="324" spans="20:20" ht="20.100000000000001" customHeight="1" x14ac:dyDescent="0.3">
      <c r="T324" s="26"/>
    </row>
    <row r="325" spans="20:20" ht="20.100000000000001" customHeight="1" x14ac:dyDescent="0.3">
      <c r="T325" s="26"/>
    </row>
    <row r="326" spans="20:20" ht="20.100000000000001" customHeight="1" x14ac:dyDescent="0.3">
      <c r="T326" s="26"/>
    </row>
    <row r="327" spans="20:20" ht="20.100000000000001" customHeight="1" x14ac:dyDescent="0.3">
      <c r="T327" s="26"/>
    </row>
    <row r="328" spans="20:20" ht="20.100000000000001" customHeight="1" x14ac:dyDescent="0.3">
      <c r="T328" s="26"/>
    </row>
    <row r="329" spans="20:20" ht="20.100000000000001" customHeight="1" x14ac:dyDescent="0.3">
      <c r="T329" s="26"/>
    </row>
    <row r="330" spans="20:20" ht="20.100000000000001" customHeight="1" x14ac:dyDescent="0.3">
      <c r="T330" s="26"/>
    </row>
    <row r="331" spans="20:20" ht="20.100000000000001" customHeight="1" x14ac:dyDescent="0.3">
      <c r="T331" s="26"/>
    </row>
    <row r="332" spans="20:20" ht="20.100000000000001" customHeight="1" x14ac:dyDescent="0.3">
      <c r="T332" s="26"/>
    </row>
    <row r="333" spans="20:20" ht="20.100000000000001" customHeight="1" x14ac:dyDescent="0.3">
      <c r="T333" s="26"/>
    </row>
    <row r="334" spans="20:20" ht="20.100000000000001" customHeight="1" x14ac:dyDescent="0.3">
      <c r="T334" s="26"/>
    </row>
    <row r="335" spans="20:20" ht="20.100000000000001" customHeight="1" x14ac:dyDescent="0.3">
      <c r="T335" s="26"/>
    </row>
    <row r="336" spans="20:20" ht="20.100000000000001" customHeight="1" x14ac:dyDescent="0.3">
      <c r="T336" s="26"/>
    </row>
    <row r="337" spans="20:20" ht="20.100000000000001" customHeight="1" x14ac:dyDescent="0.3">
      <c r="T337" s="26"/>
    </row>
    <row r="338" spans="20:20" ht="20.100000000000001" customHeight="1" x14ac:dyDescent="0.3">
      <c r="T338" s="26"/>
    </row>
    <row r="339" spans="20:20" ht="20.100000000000001" customHeight="1" x14ac:dyDescent="0.3">
      <c r="T339" s="26"/>
    </row>
    <row r="340" spans="20:20" ht="20.100000000000001" customHeight="1" x14ac:dyDescent="0.3">
      <c r="T340" s="26"/>
    </row>
    <row r="341" spans="20:20" ht="20.100000000000001" customHeight="1" x14ac:dyDescent="0.3">
      <c r="T341" s="26"/>
    </row>
    <row r="342" spans="20:20" ht="20.100000000000001" customHeight="1" x14ac:dyDescent="0.3">
      <c r="T342" s="26"/>
    </row>
    <row r="343" spans="20:20" ht="20.100000000000001" customHeight="1" x14ac:dyDescent="0.3">
      <c r="T343" s="26"/>
    </row>
    <row r="344" spans="20:20" ht="20.100000000000001" customHeight="1" x14ac:dyDescent="0.3">
      <c r="T344" s="26"/>
    </row>
    <row r="345" spans="20:20" ht="20.100000000000001" customHeight="1" x14ac:dyDescent="0.3">
      <c r="T345" s="26"/>
    </row>
    <row r="346" spans="20:20" ht="20.100000000000001" customHeight="1" x14ac:dyDescent="0.3">
      <c r="T346" s="26"/>
    </row>
    <row r="347" spans="20:20" ht="20.100000000000001" customHeight="1" x14ac:dyDescent="0.3">
      <c r="T347" s="26"/>
    </row>
    <row r="348" spans="20:20" ht="20.100000000000001" customHeight="1" x14ac:dyDescent="0.3">
      <c r="T348" s="26"/>
    </row>
    <row r="349" spans="20:20" ht="20.100000000000001" customHeight="1" x14ac:dyDescent="0.3">
      <c r="T349" s="26"/>
    </row>
    <row r="350" spans="20:20" ht="20.100000000000001" customHeight="1" x14ac:dyDescent="0.3">
      <c r="T350" s="26"/>
    </row>
    <row r="351" spans="20:20" ht="20.100000000000001" customHeight="1" x14ac:dyDescent="0.3">
      <c r="T351" s="26"/>
    </row>
    <row r="352" spans="20:20" ht="20.100000000000001" customHeight="1" x14ac:dyDescent="0.3">
      <c r="T352" s="26"/>
    </row>
    <row r="353" spans="20:20" ht="20.100000000000001" customHeight="1" x14ac:dyDescent="0.3">
      <c r="T353" s="26"/>
    </row>
    <row r="354" spans="20:20" ht="20.100000000000001" customHeight="1" x14ac:dyDescent="0.3">
      <c r="T354" s="26"/>
    </row>
    <row r="355" spans="20:20" ht="20.100000000000001" customHeight="1" x14ac:dyDescent="0.3">
      <c r="T355" s="26"/>
    </row>
    <row r="356" spans="20:20" ht="20.100000000000001" customHeight="1" x14ac:dyDescent="0.3">
      <c r="T356" s="26"/>
    </row>
    <row r="357" spans="20:20" ht="20.100000000000001" customHeight="1" x14ac:dyDescent="0.3">
      <c r="T357" s="26"/>
    </row>
    <row r="358" spans="20:20" ht="20.100000000000001" customHeight="1" x14ac:dyDescent="0.3">
      <c r="T358" s="26"/>
    </row>
    <row r="359" spans="20:20" ht="20.100000000000001" customHeight="1" x14ac:dyDescent="0.3">
      <c r="T359" s="26"/>
    </row>
    <row r="360" spans="20:20" ht="20.100000000000001" customHeight="1" x14ac:dyDescent="0.3">
      <c r="T360" s="26"/>
    </row>
    <row r="361" spans="20:20" ht="20.100000000000001" customHeight="1" x14ac:dyDescent="0.3">
      <c r="T361" s="26"/>
    </row>
    <row r="362" spans="20:20" ht="20.100000000000001" customHeight="1" x14ac:dyDescent="0.3">
      <c r="T362" s="26"/>
    </row>
    <row r="363" spans="20:20" ht="20.100000000000001" customHeight="1" x14ac:dyDescent="0.3">
      <c r="T363" s="26"/>
    </row>
    <row r="364" spans="20:20" ht="20.100000000000001" customHeight="1" x14ac:dyDescent="0.3">
      <c r="T364" s="26"/>
    </row>
    <row r="365" spans="20:20" ht="20.100000000000001" customHeight="1" x14ac:dyDescent="0.3">
      <c r="T365" s="26"/>
    </row>
    <row r="366" spans="20:20" ht="20.100000000000001" customHeight="1" x14ac:dyDescent="0.3">
      <c r="T366" s="26"/>
    </row>
    <row r="367" spans="20:20" ht="20.100000000000001" customHeight="1" x14ac:dyDescent="0.3">
      <c r="T367" s="26"/>
    </row>
    <row r="368" spans="20:20" ht="20.100000000000001" customHeight="1" x14ac:dyDescent="0.3">
      <c r="T368" s="26"/>
    </row>
    <row r="369" spans="20:20" ht="20.100000000000001" customHeight="1" x14ac:dyDescent="0.3">
      <c r="T369" s="26"/>
    </row>
    <row r="370" spans="20:20" ht="20.100000000000001" customHeight="1" x14ac:dyDescent="0.3">
      <c r="T370" s="26"/>
    </row>
    <row r="371" spans="20:20" ht="20.100000000000001" customHeight="1" x14ac:dyDescent="0.3">
      <c r="T371" s="26"/>
    </row>
    <row r="372" spans="20:20" ht="20.100000000000001" customHeight="1" x14ac:dyDescent="0.3">
      <c r="T372" s="26"/>
    </row>
    <row r="373" spans="20:20" ht="20.100000000000001" customHeight="1" x14ac:dyDescent="0.3">
      <c r="T373" s="26"/>
    </row>
    <row r="374" spans="20:20" ht="20.100000000000001" customHeight="1" x14ac:dyDescent="0.3">
      <c r="T374" s="26"/>
    </row>
    <row r="375" spans="20:20" ht="20.100000000000001" customHeight="1" x14ac:dyDescent="0.3">
      <c r="T375" s="26"/>
    </row>
    <row r="376" spans="20:20" ht="20.100000000000001" customHeight="1" x14ac:dyDescent="0.3">
      <c r="T376" s="26"/>
    </row>
    <row r="377" spans="20:20" ht="20.100000000000001" customHeight="1" x14ac:dyDescent="0.3">
      <c r="T377" s="26"/>
    </row>
    <row r="378" spans="20:20" ht="20.100000000000001" customHeight="1" x14ac:dyDescent="0.3">
      <c r="T378" s="26"/>
    </row>
    <row r="379" spans="20:20" ht="20.100000000000001" customHeight="1" x14ac:dyDescent="0.3">
      <c r="T379" s="26"/>
    </row>
    <row r="380" spans="20:20" ht="20.100000000000001" customHeight="1" x14ac:dyDescent="0.3">
      <c r="T380" s="26"/>
    </row>
    <row r="381" spans="20:20" ht="20.100000000000001" customHeight="1" x14ac:dyDescent="0.3">
      <c r="T381" s="26"/>
    </row>
    <row r="382" spans="20:20" ht="20.100000000000001" customHeight="1" x14ac:dyDescent="0.3">
      <c r="T382" s="26"/>
    </row>
    <row r="383" spans="20:20" ht="20.100000000000001" customHeight="1" x14ac:dyDescent="0.3">
      <c r="T383" s="26"/>
    </row>
    <row r="384" spans="20:20" ht="20.100000000000001" customHeight="1" x14ac:dyDescent="0.3">
      <c r="T384" s="26"/>
    </row>
    <row r="385" spans="20:20" ht="20.100000000000001" customHeight="1" x14ac:dyDescent="0.3">
      <c r="T385" s="26"/>
    </row>
    <row r="386" spans="20:20" ht="20.100000000000001" customHeight="1" x14ac:dyDescent="0.3">
      <c r="T386" s="26"/>
    </row>
    <row r="387" spans="20:20" ht="20.100000000000001" customHeight="1" x14ac:dyDescent="0.3">
      <c r="T387" s="26"/>
    </row>
    <row r="388" spans="20:20" ht="20.100000000000001" customHeight="1" x14ac:dyDescent="0.3">
      <c r="T388" s="26"/>
    </row>
    <row r="389" spans="20:20" ht="20.100000000000001" customHeight="1" x14ac:dyDescent="0.3">
      <c r="T389" s="26"/>
    </row>
    <row r="390" spans="20:20" ht="20.100000000000001" customHeight="1" x14ac:dyDescent="0.3">
      <c r="T390" s="26"/>
    </row>
    <row r="391" spans="20:20" ht="20.100000000000001" customHeight="1" x14ac:dyDescent="0.3">
      <c r="T391" s="26"/>
    </row>
    <row r="392" spans="20:20" ht="20.100000000000001" customHeight="1" x14ac:dyDescent="0.3">
      <c r="T392" s="26"/>
    </row>
    <row r="393" spans="20:20" ht="20.100000000000001" customHeight="1" x14ac:dyDescent="0.3">
      <c r="T393" s="26"/>
    </row>
    <row r="394" spans="20:20" ht="20.100000000000001" customHeight="1" x14ac:dyDescent="0.3">
      <c r="T394" s="26"/>
    </row>
    <row r="395" spans="20:20" ht="20.100000000000001" customHeight="1" x14ac:dyDescent="0.3">
      <c r="T395" s="26"/>
    </row>
    <row r="396" spans="20:20" ht="20.100000000000001" customHeight="1" x14ac:dyDescent="0.3">
      <c r="T396" s="26"/>
    </row>
    <row r="397" spans="20:20" ht="20.100000000000001" customHeight="1" x14ac:dyDescent="0.3">
      <c r="T397" s="26"/>
    </row>
    <row r="398" spans="20:20" ht="20.100000000000001" customHeight="1" x14ac:dyDescent="0.3">
      <c r="T398" s="26"/>
    </row>
    <row r="399" spans="20:20" ht="20.100000000000001" customHeight="1" x14ac:dyDescent="0.3">
      <c r="T399" s="26"/>
    </row>
    <row r="400" spans="20:20" ht="20.100000000000001" customHeight="1" x14ac:dyDescent="0.3">
      <c r="T400" s="26"/>
    </row>
    <row r="401" spans="20:20" ht="20.100000000000001" customHeight="1" x14ac:dyDescent="0.3">
      <c r="T401" s="26"/>
    </row>
    <row r="402" spans="20:20" ht="20.100000000000001" customHeight="1" x14ac:dyDescent="0.3">
      <c r="T402" s="26"/>
    </row>
    <row r="403" spans="20:20" ht="20.100000000000001" customHeight="1" x14ac:dyDescent="0.3">
      <c r="T403" s="26"/>
    </row>
    <row r="404" spans="20:20" ht="20.100000000000001" customHeight="1" x14ac:dyDescent="0.3">
      <c r="T404" s="26"/>
    </row>
    <row r="405" spans="20:20" ht="20.100000000000001" customHeight="1" x14ac:dyDescent="0.3">
      <c r="T405" s="26"/>
    </row>
    <row r="406" spans="20:20" ht="20.100000000000001" customHeight="1" x14ac:dyDescent="0.3">
      <c r="T406" s="26"/>
    </row>
    <row r="407" spans="20:20" ht="20.100000000000001" customHeight="1" x14ac:dyDescent="0.3">
      <c r="T407" s="26"/>
    </row>
    <row r="408" spans="20:20" ht="20.100000000000001" customHeight="1" x14ac:dyDescent="0.3">
      <c r="T408" s="26"/>
    </row>
    <row r="409" spans="20:20" ht="20.100000000000001" customHeight="1" x14ac:dyDescent="0.3">
      <c r="T409" s="26"/>
    </row>
    <row r="410" spans="20:20" ht="20.100000000000001" customHeight="1" x14ac:dyDescent="0.3">
      <c r="T410" s="26"/>
    </row>
    <row r="411" spans="20:20" ht="20.100000000000001" customHeight="1" x14ac:dyDescent="0.3">
      <c r="T411" s="26"/>
    </row>
    <row r="412" spans="20:20" ht="20.100000000000001" customHeight="1" x14ac:dyDescent="0.3">
      <c r="T412" s="26"/>
    </row>
    <row r="413" spans="20:20" ht="20.100000000000001" customHeight="1" x14ac:dyDescent="0.3">
      <c r="T413" s="26"/>
    </row>
    <row r="414" spans="20:20" ht="20.100000000000001" customHeight="1" x14ac:dyDescent="0.3">
      <c r="T414" s="26"/>
    </row>
    <row r="415" spans="20:20" ht="20.100000000000001" customHeight="1" x14ac:dyDescent="0.3">
      <c r="T415" s="26"/>
    </row>
    <row r="416" spans="20:20" ht="20.100000000000001" customHeight="1" x14ac:dyDescent="0.3">
      <c r="T416" s="26"/>
    </row>
    <row r="417" spans="20:20" ht="20.100000000000001" customHeight="1" x14ac:dyDescent="0.3">
      <c r="T417" s="26"/>
    </row>
    <row r="418" spans="20:20" ht="20.100000000000001" customHeight="1" x14ac:dyDescent="0.3">
      <c r="T418" s="26"/>
    </row>
    <row r="419" spans="20:20" ht="20.100000000000001" customHeight="1" x14ac:dyDescent="0.3">
      <c r="T419" s="26"/>
    </row>
    <row r="420" spans="20:20" ht="20.100000000000001" customHeight="1" x14ac:dyDescent="0.3">
      <c r="T420" s="26"/>
    </row>
    <row r="421" spans="20:20" ht="20.100000000000001" customHeight="1" x14ac:dyDescent="0.3">
      <c r="T421" s="26"/>
    </row>
    <row r="422" spans="20:20" ht="20.100000000000001" customHeight="1" x14ac:dyDescent="0.3">
      <c r="T422" s="26"/>
    </row>
    <row r="423" spans="20:20" ht="20.100000000000001" customHeight="1" x14ac:dyDescent="0.3">
      <c r="T423" s="26"/>
    </row>
    <row r="424" spans="20:20" ht="20.100000000000001" customHeight="1" x14ac:dyDescent="0.3">
      <c r="T424" s="26"/>
    </row>
    <row r="425" spans="20:20" ht="20.100000000000001" customHeight="1" x14ac:dyDescent="0.3">
      <c r="T425" s="26"/>
    </row>
    <row r="426" spans="20:20" ht="20.100000000000001" customHeight="1" x14ac:dyDescent="0.3">
      <c r="T426" s="26"/>
    </row>
    <row r="427" spans="20:20" ht="20.100000000000001" customHeight="1" x14ac:dyDescent="0.3">
      <c r="T427" s="26"/>
    </row>
    <row r="428" spans="20:20" ht="20.100000000000001" customHeight="1" x14ac:dyDescent="0.3">
      <c r="T428" s="26"/>
    </row>
    <row r="429" spans="20:20" ht="20.100000000000001" customHeight="1" x14ac:dyDescent="0.3">
      <c r="T429" s="26"/>
    </row>
    <row r="430" spans="20:20" ht="20.100000000000001" customHeight="1" x14ac:dyDescent="0.3">
      <c r="T430" s="26"/>
    </row>
    <row r="431" spans="20:20" ht="20.100000000000001" customHeight="1" x14ac:dyDescent="0.3">
      <c r="T431" s="26"/>
    </row>
    <row r="432" spans="20:20" ht="20.100000000000001" customHeight="1" x14ac:dyDescent="0.3">
      <c r="T432" s="26"/>
    </row>
    <row r="433" spans="20:20" ht="20.100000000000001" customHeight="1" x14ac:dyDescent="0.3">
      <c r="T433" s="26"/>
    </row>
    <row r="434" spans="20:20" ht="20.100000000000001" customHeight="1" x14ac:dyDescent="0.3">
      <c r="T434" s="26"/>
    </row>
    <row r="435" spans="20:20" ht="20.100000000000001" customHeight="1" x14ac:dyDescent="0.3">
      <c r="T435" s="26"/>
    </row>
    <row r="436" spans="20:20" ht="20.100000000000001" customHeight="1" x14ac:dyDescent="0.3">
      <c r="T436" s="26"/>
    </row>
    <row r="437" spans="20:20" ht="20.100000000000001" customHeight="1" x14ac:dyDescent="0.3">
      <c r="T437" s="26"/>
    </row>
    <row r="438" spans="20:20" ht="20.100000000000001" customHeight="1" x14ac:dyDescent="0.3">
      <c r="T438" s="26"/>
    </row>
    <row r="439" spans="20:20" ht="20.100000000000001" customHeight="1" x14ac:dyDescent="0.3">
      <c r="T439" s="26"/>
    </row>
    <row r="440" spans="20:20" ht="20.100000000000001" customHeight="1" x14ac:dyDescent="0.3">
      <c r="T440" s="26"/>
    </row>
    <row r="441" spans="20:20" ht="20.100000000000001" customHeight="1" x14ac:dyDescent="0.3">
      <c r="T441" s="26"/>
    </row>
    <row r="442" spans="20:20" ht="20.100000000000001" customHeight="1" x14ac:dyDescent="0.3">
      <c r="T442" s="26"/>
    </row>
    <row r="443" spans="20:20" ht="20.100000000000001" customHeight="1" x14ac:dyDescent="0.3">
      <c r="T443" s="26"/>
    </row>
    <row r="444" spans="20:20" ht="20.100000000000001" customHeight="1" x14ac:dyDescent="0.3">
      <c r="T444" s="26"/>
    </row>
    <row r="445" spans="20:20" ht="20.100000000000001" customHeight="1" x14ac:dyDescent="0.3">
      <c r="T445" s="26"/>
    </row>
    <row r="446" spans="20:20" ht="20.100000000000001" customHeight="1" x14ac:dyDescent="0.3">
      <c r="T446" s="26"/>
    </row>
    <row r="447" spans="20:20" ht="20.100000000000001" customHeight="1" x14ac:dyDescent="0.3">
      <c r="T447" s="26"/>
    </row>
    <row r="448" spans="20:20" ht="20.100000000000001" customHeight="1" x14ac:dyDescent="0.3">
      <c r="T448" s="26"/>
    </row>
    <row r="449" spans="20:20" ht="20.100000000000001" customHeight="1" x14ac:dyDescent="0.3">
      <c r="T449" s="26"/>
    </row>
    <row r="450" spans="20:20" ht="20.100000000000001" customHeight="1" x14ac:dyDescent="0.3">
      <c r="T450" s="26"/>
    </row>
    <row r="451" spans="20:20" ht="20.100000000000001" customHeight="1" x14ac:dyDescent="0.3">
      <c r="T451" s="26"/>
    </row>
    <row r="452" spans="20:20" ht="20.100000000000001" customHeight="1" x14ac:dyDescent="0.3">
      <c r="T452" s="26"/>
    </row>
    <row r="453" spans="20:20" ht="20.100000000000001" customHeight="1" x14ac:dyDescent="0.3">
      <c r="T453" s="26"/>
    </row>
    <row r="454" spans="20:20" ht="20.100000000000001" customHeight="1" x14ac:dyDescent="0.3">
      <c r="T454" s="26"/>
    </row>
    <row r="455" spans="20:20" ht="20.100000000000001" customHeight="1" x14ac:dyDescent="0.3">
      <c r="T455" s="26"/>
    </row>
    <row r="456" spans="20:20" ht="20.100000000000001" customHeight="1" x14ac:dyDescent="0.3">
      <c r="T456" s="26"/>
    </row>
    <row r="457" spans="20:20" ht="20.100000000000001" customHeight="1" x14ac:dyDescent="0.3">
      <c r="T457" s="26"/>
    </row>
    <row r="458" spans="20:20" ht="20.100000000000001" customHeight="1" x14ac:dyDescent="0.3">
      <c r="T458" s="26"/>
    </row>
    <row r="459" spans="20:20" ht="20.100000000000001" customHeight="1" x14ac:dyDescent="0.3">
      <c r="T459" s="26"/>
    </row>
    <row r="460" spans="20:20" ht="20.100000000000001" customHeight="1" x14ac:dyDescent="0.3">
      <c r="T460" s="26"/>
    </row>
    <row r="461" spans="20:20" ht="20.100000000000001" customHeight="1" x14ac:dyDescent="0.3">
      <c r="T461" s="26"/>
    </row>
    <row r="462" spans="20:20" ht="20.100000000000001" customHeight="1" x14ac:dyDescent="0.3">
      <c r="T462" s="26"/>
    </row>
    <row r="463" spans="20:20" ht="20.100000000000001" customHeight="1" x14ac:dyDescent="0.3">
      <c r="T463" s="26"/>
    </row>
    <row r="464" spans="20:20" ht="20.100000000000001" customHeight="1" x14ac:dyDescent="0.3">
      <c r="T464" s="26"/>
    </row>
    <row r="465" spans="20:20" ht="20.100000000000001" customHeight="1" x14ac:dyDescent="0.3">
      <c r="T465" s="26"/>
    </row>
    <row r="466" spans="20:20" ht="20.100000000000001" customHeight="1" x14ac:dyDescent="0.3">
      <c r="T466" s="26"/>
    </row>
    <row r="467" spans="20:20" ht="20.100000000000001" customHeight="1" x14ac:dyDescent="0.3">
      <c r="T467" s="26"/>
    </row>
    <row r="468" spans="20:20" ht="20.100000000000001" customHeight="1" x14ac:dyDescent="0.3">
      <c r="T468" s="26"/>
    </row>
    <row r="469" spans="20:20" ht="20.100000000000001" customHeight="1" x14ac:dyDescent="0.3">
      <c r="T469" s="26"/>
    </row>
    <row r="470" spans="20:20" ht="20.100000000000001" customHeight="1" x14ac:dyDescent="0.3">
      <c r="T470" s="26"/>
    </row>
    <row r="471" spans="20:20" ht="20.100000000000001" customHeight="1" x14ac:dyDescent="0.3">
      <c r="T471" s="26"/>
    </row>
    <row r="472" spans="20:20" ht="20.100000000000001" customHeight="1" x14ac:dyDescent="0.3">
      <c r="T472" s="26"/>
    </row>
    <row r="473" spans="20:20" ht="20.100000000000001" customHeight="1" x14ac:dyDescent="0.3">
      <c r="T473" s="26"/>
    </row>
    <row r="474" spans="20:20" ht="20.100000000000001" customHeight="1" x14ac:dyDescent="0.3">
      <c r="T474" s="26"/>
    </row>
    <row r="475" spans="20:20" ht="20.100000000000001" customHeight="1" x14ac:dyDescent="0.3">
      <c r="T475" s="26"/>
    </row>
    <row r="476" spans="20:20" ht="20.100000000000001" customHeight="1" x14ac:dyDescent="0.3">
      <c r="T476" s="26"/>
    </row>
    <row r="477" spans="20:20" ht="20.100000000000001" customHeight="1" x14ac:dyDescent="0.3">
      <c r="T477" s="26"/>
    </row>
    <row r="478" spans="20:20" ht="20.100000000000001" customHeight="1" x14ac:dyDescent="0.3">
      <c r="T478" s="26"/>
    </row>
    <row r="479" spans="20:20" ht="20.100000000000001" customHeight="1" x14ac:dyDescent="0.3">
      <c r="T479" s="26"/>
    </row>
    <row r="480" spans="20:20" ht="20.100000000000001" customHeight="1" x14ac:dyDescent="0.3">
      <c r="T480" s="26"/>
    </row>
    <row r="481" spans="20:20" ht="20.100000000000001" customHeight="1" x14ac:dyDescent="0.3">
      <c r="T481" s="26"/>
    </row>
    <row r="482" spans="20:20" ht="20.100000000000001" customHeight="1" x14ac:dyDescent="0.3">
      <c r="T482" s="26"/>
    </row>
    <row r="483" spans="20:20" ht="20.100000000000001" customHeight="1" x14ac:dyDescent="0.3">
      <c r="T483" s="26"/>
    </row>
    <row r="484" spans="20:20" ht="20.100000000000001" customHeight="1" x14ac:dyDescent="0.3">
      <c r="T484" s="26"/>
    </row>
    <row r="485" spans="20:20" ht="20.100000000000001" customHeight="1" x14ac:dyDescent="0.3">
      <c r="T485" s="26"/>
    </row>
    <row r="486" spans="20:20" ht="20.100000000000001" customHeight="1" x14ac:dyDescent="0.3">
      <c r="T486" s="26"/>
    </row>
    <row r="487" spans="20:20" ht="20.100000000000001" customHeight="1" x14ac:dyDescent="0.3">
      <c r="T487" s="26"/>
    </row>
    <row r="488" spans="20:20" ht="20.100000000000001" customHeight="1" x14ac:dyDescent="0.3">
      <c r="T488" s="26"/>
    </row>
    <row r="489" spans="20:20" ht="20.100000000000001" customHeight="1" x14ac:dyDescent="0.3">
      <c r="T489" s="26"/>
    </row>
    <row r="490" spans="20:20" ht="20.100000000000001" customHeight="1" x14ac:dyDescent="0.3">
      <c r="T490" s="26"/>
    </row>
    <row r="491" spans="20:20" ht="20.100000000000001" customHeight="1" x14ac:dyDescent="0.3">
      <c r="T491" s="26"/>
    </row>
    <row r="492" spans="20:20" ht="20.100000000000001" customHeight="1" x14ac:dyDescent="0.3">
      <c r="T492" s="26"/>
    </row>
    <row r="493" spans="20:20" ht="20.100000000000001" customHeight="1" x14ac:dyDescent="0.3">
      <c r="T493" s="26"/>
    </row>
    <row r="494" spans="20:20" ht="20.100000000000001" customHeight="1" x14ac:dyDescent="0.3">
      <c r="T494" s="26"/>
    </row>
    <row r="495" spans="20:20" ht="20.100000000000001" customHeight="1" x14ac:dyDescent="0.3">
      <c r="T495" s="26"/>
    </row>
    <row r="496" spans="20:20" ht="20.100000000000001" customHeight="1" x14ac:dyDescent="0.3">
      <c r="T496" s="26"/>
    </row>
    <row r="497" spans="20:20" ht="20.100000000000001" customHeight="1" x14ac:dyDescent="0.3">
      <c r="T497" s="26"/>
    </row>
    <row r="498" spans="20:20" ht="20.100000000000001" customHeight="1" x14ac:dyDescent="0.3">
      <c r="T498" s="26"/>
    </row>
    <row r="499" spans="20:20" ht="20.100000000000001" customHeight="1" x14ac:dyDescent="0.3">
      <c r="T499" s="26"/>
    </row>
    <row r="500" spans="20:20" ht="20.100000000000001" customHeight="1" x14ac:dyDescent="0.3">
      <c r="T500" s="26"/>
    </row>
    <row r="501" spans="20:20" ht="20.100000000000001" customHeight="1" x14ac:dyDescent="0.3">
      <c r="T501" s="26"/>
    </row>
    <row r="502" spans="20:20" ht="20.100000000000001" customHeight="1" x14ac:dyDescent="0.3">
      <c r="T502" s="26"/>
    </row>
    <row r="503" spans="20:20" ht="20.100000000000001" customHeight="1" x14ac:dyDescent="0.3">
      <c r="T503" s="26"/>
    </row>
    <row r="504" spans="20:20" ht="20.100000000000001" customHeight="1" x14ac:dyDescent="0.3">
      <c r="T504" s="26"/>
    </row>
    <row r="505" spans="20:20" ht="20.100000000000001" customHeight="1" x14ac:dyDescent="0.3">
      <c r="T505" s="26"/>
    </row>
    <row r="506" spans="20:20" ht="20.100000000000001" customHeight="1" x14ac:dyDescent="0.3">
      <c r="T506" s="26"/>
    </row>
    <row r="507" spans="20:20" ht="20.100000000000001" customHeight="1" x14ac:dyDescent="0.3">
      <c r="T507" s="26"/>
    </row>
    <row r="508" spans="20:20" ht="20.100000000000001" customHeight="1" x14ac:dyDescent="0.3">
      <c r="T508" s="26"/>
    </row>
    <row r="509" spans="20:20" ht="20.100000000000001" customHeight="1" x14ac:dyDescent="0.3">
      <c r="T509" s="26"/>
    </row>
    <row r="510" spans="20:20" ht="20.100000000000001" customHeight="1" x14ac:dyDescent="0.3">
      <c r="T510" s="26"/>
    </row>
    <row r="511" spans="20:20" ht="20.100000000000001" customHeight="1" x14ac:dyDescent="0.3">
      <c r="T511" s="26"/>
    </row>
    <row r="512" spans="20:20" ht="20.100000000000001" customHeight="1" x14ac:dyDescent="0.3">
      <c r="T512" s="26"/>
    </row>
    <row r="513" spans="20:20" ht="20.100000000000001" customHeight="1" x14ac:dyDescent="0.3">
      <c r="T513" s="26"/>
    </row>
    <row r="514" spans="20:20" ht="20.100000000000001" customHeight="1" x14ac:dyDescent="0.3">
      <c r="T514" s="26"/>
    </row>
    <row r="515" spans="20:20" ht="20.100000000000001" customHeight="1" x14ac:dyDescent="0.3">
      <c r="T515" s="26"/>
    </row>
    <row r="516" spans="20:20" ht="20.100000000000001" customHeight="1" x14ac:dyDescent="0.3">
      <c r="T516" s="26"/>
    </row>
    <row r="517" spans="20:20" ht="20.100000000000001" customHeight="1" x14ac:dyDescent="0.3">
      <c r="T517" s="26"/>
    </row>
    <row r="518" spans="20:20" ht="20.100000000000001" customHeight="1" x14ac:dyDescent="0.3">
      <c r="T518" s="26"/>
    </row>
    <row r="519" spans="20:20" ht="20.100000000000001" customHeight="1" x14ac:dyDescent="0.3">
      <c r="T519" s="26"/>
    </row>
    <row r="520" spans="20:20" ht="20.100000000000001" customHeight="1" x14ac:dyDescent="0.3">
      <c r="T520" s="26"/>
    </row>
    <row r="521" spans="20:20" ht="20.100000000000001" customHeight="1" x14ac:dyDescent="0.3">
      <c r="T521" s="26"/>
    </row>
    <row r="522" spans="20:20" ht="20.100000000000001" customHeight="1" x14ac:dyDescent="0.3">
      <c r="T522" s="26"/>
    </row>
    <row r="523" spans="20:20" ht="20.100000000000001" customHeight="1" x14ac:dyDescent="0.3">
      <c r="T523" s="26"/>
    </row>
    <row r="524" spans="20:20" ht="20.100000000000001" customHeight="1" x14ac:dyDescent="0.3">
      <c r="T524" s="26"/>
    </row>
    <row r="525" spans="20:20" ht="20.100000000000001" customHeight="1" x14ac:dyDescent="0.3">
      <c r="T525" s="26"/>
    </row>
    <row r="526" spans="20:20" ht="20.100000000000001" customHeight="1" x14ac:dyDescent="0.3">
      <c r="T526" s="26"/>
    </row>
    <row r="527" spans="20:20" ht="20.100000000000001" customHeight="1" x14ac:dyDescent="0.3">
      <c r="T527" s="26"/>
    </row>
    <row r="528" spans="20:20" ht="20.100000000000001" customHeight="1" x14ac:dyDescent="0.3">
      <c r="T528" s="26"/>
    </row>
    <row r="529" spans="20:20" ht="20.100000000000001" customHeight="1" x14ac:dyDescent="0.3">
      <c r="T529" s="26"/>
    </row>
    <row r="530" spans="20:20" ht="20.100000000000001" customHeight="1" x14ac:dyDescent="0.3">
      <c r="T530" s="26"/>
    </row>
    <row r="531" spans="20:20" ht="20.100000000000001" customHeight="1" x14ac:dyDescent="0.3">
      <c r="T531" s="26"/>
    </row>
    <row r="532" spans="20:20" ht="20.100000000000001" customHeight="1" x14ac:dyDescent="0.3">
      <c r="T532" s="26"/>
    </row>
    <row r="533" spans="20:20" ht="20.100000000000001" customHeight="1" x14ac:dyDescent="0.3">
      <c r="T533" s="26"/>
    </row>
    <row r="534" spans="20:20" ht="20.100000000000001" customHeight="1" x14ac:dyDescent="0.3">
      <c r="T534" s="26"/>
    </row>
    <row r="535" spans="20:20" ht="20.100000000000001" customHeight="1" x14ac:dyDescent="0.3">
      <c r="T535" s="26"/>
    </row>
    <row r="536" spans="20:20" ht="20.100000000000001" customHeight="1" x14ac:dyDescent="0.3">
      <c r="T536" s="26"/>
    </row>
    <row r="537" spans="20:20" ht="20.100000000000001" customHeight="1" x14ac:dyDescent="0.3">
      <c r="T537" s="26"/>
    </row>
    <row r="538" spans="20:20" ht="20.100000000000001" customHeight="1" x14ac:dyDescent="0.3">
      <c r="T538" s="26"/>
    </row>
    <row r="539" spans="20:20" ht="20.100000000000001" customHeight="1" x14ac:dyDescent="0.3">
      <c r="T539" s="26"/>
    </row>
    <row r="540" spans="20:20" ht="20.100000000000001" customHeight="1" x14ac:dyDescent="0.3">
      <c r="T540" s="26"/>
    </row>
    <row r="541" spans="20:20" ht="20.100000000000001" customHeight="1" x14ac:dyDescent="0.3">
      <c r="T541" s="26"/>
    </row>
    <row r="542" spans="20:20" ht="20.100000000000001" customHeight="1" x14ac:dyDescent="0.3">
      <c r="T542" s="26"/>
    </row>
    <row r="543" spans="20:20" ht="20.100000000000001" customHeight="1" x14ac:dyDescent="0.3">
      <c r="T543" s="26"/>
    </row>
    <row r="544" spans="20:20" ht="20.100000000000001" customHeight="1" x14ac:dyDescent="0.3">
      <c r="T544" s="26"/>
    </row>
    <row r="545" spans="20:20" ht="20.100000000000001" customHeight="1" x14ac:dyDescent="0.3">
      <c r="T545" s="26"/>
    </row>
    <row r="546" spans="20:20" ht="20.100000000000001" customHeight="1" x14ac:dyDescent="0.3">
      <c r="T546" s="26"/>
    </row>
    <row r="547" spans="20:20" ht="20.100000000000001" customHeight="1" x14ac:dyDescent="0.3">
      <c r="T547" s="26"/>
    </row>
    <row r="548" spans="20:20" ht="20.100000000000001" customHeight="1" x14ac:dyDescent="0.3">
      <c r="T548" s="26"/>
    </row>
    <row r="549" spans="20:20" ht="20.100000000000001" customHeight="1" x14ac:dyDescent="0.3">
      <c r="T549" s="26"/>
    </row>
    <row r="550" spans="20:20" ht="20.100000000000001" customHeight="1" x14ac:dyDescent="0.3">
      <c r="T550" s="26"/>
    </row>
    <row r="551" spans="20:20" ht="20.100000000000001" customHeight="1" x14ac:dyDescent="0.3">
      <c r="T551" s="26"/>
    </row>
    <row r="552" spans="20:20" ht="20.100000000000001" customHeight="1" x14ac:dyDescent="0.3">
      <c r="T552" s="26"/>
    </row>
    <row r="553" spans="20:20" ht="20.100000000000001" customHeight="1" x14ac:dyDescent="0.3">
      <c r="T553" s="26"/>
    </row>
    <row r="554" spans="20:20" ht="20.100000000000001" customHeight="1" x14ac:dyDescent="0.3">
      <c r="T554" s="26"/>
    </row>
    <row r="555" spans="20:20" ht="20.100000000000001" customHeight="1" x14ac:dyDescent="0.3">
      <c r="T555" s="26"/>
    </row>
    <row r="556" spans="20:20" ht="20.100000000000001" customHeight="1" x14ac:dyDescent="0.3">
      <c r="T556" s="26"/>
    </row>
    <row r="557" spans="20:20" ht="20.100000000000001" customHeight="1" x14ac:dyDescent="0.3">
      <c r="T557" s="26"/>
    </row>
    <row r="558" spans="20:20" ht="20.100000000000001" customHeight="1" x14ac:dyDescent="0.3">
      <c r="T558" s="26"/>
    </row>
    <row r="559" spans="20:20" ht="20.100000000000001" customHeight="1" x14ac:dyDescent="0.3">
      <c r="T559" s="26"/>
    </row>
    <row r="560" spans="20:20" ht="20.100000000000001" customHeight="1" x14ac:dyDescent="0.3">
      <c r="T560" s="26"/>
    </row>
    <row r="561" spans="20:20" ht="20.100000000000001" customHeight="1" x14ac:dyDescent="0.3">
      <c r="T561" s="26"/>
    </row>
    <row r="562" spans="20:20" ht="20.100000000000001" customHeight="1" x14ac:dyDescent="0.3">
      <c r="T562" s="26"/>
    </row>
    <row r="563" spans="20:20" ht="20.100000000000001" customHeight="1" x14ac:dyDescent="0.3">
      <c r="T563" s="26"/>
    </row>
    <row r="564" spans="20:20" ht="20.100000000000001" customHeight="1" x14ac:dyDescent="0.3">
      <c r="T564" s="26"/>
    </row>
    <row r="565" spans="20:20" ht="20.100000000000001" customHeight="1" x14ac:dyDescent="0.3">
      <c r="T565" s="26"/>
    </row>
    <row r="566" spans="20:20" ht="20.100000000000001" customHeight="1" x14ac:dyDescent="0.3">
      <c r="T566" s="26"/>
    </row>
    <row r="567" spans="20:20" ht="20.100000000000001" customHeight="1" x14ac:dyDescent="0.3">
      <c r="T567" s="26"/>
    </row>
    <row r="568" spans="20:20" ht="20.100000000000001" customHeight="1" x14ac:dyDescent="0.3">
      <c r="T568" s="26"/>
    </row>
    <row r="569" spans="20:20" ht="20.100000000000001" customHeight="1" x14ac:dyDescent="0.3">
      <c r="T569" s="26"/>
    </row>
    <row r="570" spans="20:20" ht="20.100000000000001" customHeight="1" x14ac:dyDescent="0.3">
      <c r="T570" s="26"/>
    </row>
    <row r="571" spans="20:20" ht="20.100000000000001" customHeight="1" x14ac:dyDescent="0.3">
      <c r="T571" s="26"/>
    </row>
    <row r="572" spans="20:20" ht="20.100000000000001" customHeight="1" x14ac:dyDescent="0.3">
      <c r="T572" s="26"/>
    </row>
    <row r="573" spans="20:20" ht="20.100000000000001" customHeight="1" x14ac:dyDescent="0.3">
      <c r="T573" s="26"/>
    </row>
    <row r="574" spans="20:20" ht="20.100000000000001" customHeight="1" x14ac:dyDescent="0.3">
      <c r="T574" s="26"/>
    </row>
    <row r="575" spans="20:20" ht="20.100000000000001" customHeight="1" x14ac:dyDescent="0.3">
      <c r="T575" s="26"/>
    </row>
    <row r="576" spans="20:20" ht="20.100000000000001" customHeight="1" x14ac:dyDescent="0.3">
      <c r="T576" s="26"/>
    </row>
    <row r="577" spans="20:20" ht="20.100000000000001" customHeight="1" x14ac:dyDescent="0.3">
      <c r="T577" s="26"/>
    </row>
    <row r="578" spans="20:20" ht="20.100000000000001" customHeight="1" x14ac:dyDescent="0.3">
      <c r="T578" s="26"/>
    </row>
    <row r="579" spans="20:20" ht="20.100000000000001" customHeight="1" x14ac:dyDescent="0.3">
      <c r="T579" s="26"/>
    </row>
    <row r="580" spans="20:20" ht="20.100000000000001" customHeight="1" x14ac:dyDescent="0.3">
      <c r="T580" s="26"/>
    </row>
    <row r="581" spans="20:20" ht="20.100000000000001" customHeight="1" x14ac:dyDescent="0.3">
      <c r="T581" s="26"/>
    </row>
    <row r="582" spans="20:20" ht="20.100000000000001" customHeight="1" x14ac:dyDescent="0.3">
      <c r="T582" s="26"/>
    </row>
    <row r="583" spans="20:20" ht="20.100000000000001" customHeight="1" x14ac:dyDescent="0.3">
      <c r="T583" s="26"/>
    </row>
    <row r="584" spans="20:20" ht="20.100000000000001" customHeight="1" x14ac:dyDescent="0.3">
      <c r="T584" s="26"/>
    </row>
    <row r="585" spans="20:20" ht="20.100000000000001" customHeight="1" x14ac:dyDescent="0.3">
      <c r="T585" s="26"/>
    </row>
    <row r="586" spans="20:20" ht="20.100000000000001" customHeight="1" x14ac:dyDescent="0.3">
      <c r="T586" s="26"/>
    </row>
    <row r="587" spans="20:20" ht="20.100000000000001" customHeight="1" x14ac:dyDescent="0.3">
      <c r="T587" s="26"/>
    </row>
    <row r="588" spans="20:20" ht="20.100000000000001" customHeight="1" x14ac:dyDescent="0.3">
      <c r="T588" s="26"/>
    </row>
    <row r="589" spans="20:20" ht="20.100000000000001" customHeight="1" x14ac:dyDescent="0.3">
      <c r="T589" s="26"/>
    </row>
    <row r="590" spans="20:20" ht="20.100000000000001" customHeight="1" x14ac:dyDescent="0.3">
      <c r="T590" s="26"/>
    </row>
    <row r="591" spans="20:20" ht="20.100000000000001" customHeight="1" x14ac:dyDescent="0.3">
      <c r="T591" s="26"/>
    </row>
    <row r="592" spans="20:20" ht="20.100000000000001" customHeight="1" x14ac:dyDescent="0.3">
      <c r="T592" s="26"/>
    </row>
    <row r="593" spans="20:20" ht="20.100000000000001" customHeight="1" x14ac:dyDescent="0.3">
      <c r="T593" s="26"/>
    </row>
    <row r="594" spans="20:20" ht="20.100000000000001" customHeight="1" x14ac:dyDescent="0.3">
      <c r="T594" s="26"/>
    </row>
    <row r="595" spans="20:20" ht="20.100000000000001" customHeight="1" x14ac:dyDescent="0.3">
      <c r="T595" s="26"/>
    </row>
    <row r="596" spans="20:20" ht="20.100000000000001" customHeight="1" x14ac:dyDescent="0.3">
      <c r="T596" s="26"/>
    </row>
    <row r="597" spans="20:20" ht="20.100000000000001" customHeight="1" x14ac:dyDescent="0.3">
      <c r="T597" s="26"/>
    </row>
    <row r="598" spans="20:20" ht="20.100000000000001" customHeight="1" x14ac:dyDescent="0.3">
      <c r="T598" s="26"/>
    </row>
    <row r="599" spans="20:20" ht="20.100000000000001" customHeight="1" x14ac:dyDescent="0.3">
      <c r="T599" s="26"/>
    </row>
    <row r="600" spans="20:20" ht="20.100000000000001" customHeight="1" x14ac:dyDescent="0.3">
      <c r="T600" s="26"/>
    </row>
    <row r="601" spans="20:20" ht="20.100000000000001" customHeight="1" x14ac:dyDescent="0.3">
      <c r="T601" s="26"/>
    </row>
    <row r="602" spans="20:20" ht="20.100000000000001" customHeight="1" x14ac:dyDescent="0.3">
      <c r="T602" s="26"/>
    </row>
    <row r="603" spans="20:20" ht="20.100000000000001" customHeight="1" x14ac:dyDescent="0.3">
      <c r="T603" s="26"/>
    </row>
    <row r="604" spans="20:20" ht="20.100000000000001" customHeight="1" x14ac:dyDescent="0.3">
      <c r="T604" s="26"/>
    </row>
    <row r="605" spans="20:20" ht="20.100000000000001" customHeight="1" x14ac:dyDescent="0.3">
      <c r="T605" s="26"/>
    </row>
    <row r="606" spans="20:20" ht="20.100000000000001" customHeight="1" x14ac:dyDescent="0.3">
      <c r="T606" s="26"/>
    </row>
    <row r="607" spans="20:20" ht="20.100000000000001" customHeight="1" x14ac:dyDescent="0.3">
      <c r="T607" s="26"/>
    </row>
    <row r="608" spans="20:20" ht="20.100000000000001" customHeight="1" x14ac:dyDescent="0.3">
      <c r="T608" s="26"/>
    </row>
    <row r="609" spans="20:20" ht="20.100000000000001" customHeight="1" x14ac:dyDescent="0.3">
      <c r="T609" s="26"/>
    </row>
    <row r="610" spans="20:20" ht="20.100000000000001" customHeight="1" x14ac:dyDescent="0.3">
      <c r="T610" s="26"/>
    </row>
    <row r="611" spans="20:20" ht="20.100000000000001" customHeight="1" x14ac:dyDescent="0.3">
      <c r="T611" s="26"/>
    </row>
    <row r="612" spans="20:20" ht="20.100000000000001" customHeight="1" x14ac:dyDescent="0.3">
      <c r="T612" s="26"/>
    </row>
    <row r="613" spans="20:20" ht="20.100000000000001" customHeight="1" x14ac:dyDescent="0.3">
      <c r="T613" s="26"/>
    </row>
    <row r="614" spans="20:20" ht="20.100000000000001" customHeight="1" x14ac:dyDescent="0.3">
      <c r="T614" s="26"/>
    </row>
    <row r="615" spans="20:20" ht="20.100000000000001" customHeight="1" x14ac:dyDescent="0.3">
      <c r="T615" s="26"/>
    </row>
    <row r="616" spans="20:20" ht="20.100000000000001" customHeight="1" x14ac:dyDescent="0.3">
      <c r="T616" s="26"/>
    </row>
    <row r="617" spans="20:20" ht="20.100000000000001" customHeight="1" x14ac:dyDescent="0.3">
      <c r="T617" s="26"/>
    </row>
    <row r="618" spans="20:20" ht="20.100000000000001" customHeight="1" x14ac:dyDescent="0.3">
      <c r="T618" s="26"/>
    </row>
    <row r="619" spans="20:20" ht="20.100000000000001" customHeight="1" x14ac:dyDescent="0.3">
      <c r="T619" s="26"/>
    </row>
    <row r="620" spans="20:20" ht="20.100000000000001" customHeight="1" x14ac:dyDescent="0.3">
      <c r="T620" s="26"/>
    </row>
    <row r="621" spans="20:20" ht="20.100000000000001" customHeight="1" x14ac:dyDescent="0.3">
      <c r="T621" s="26"/>
    </row>
    <row r="622" spans="20:20" ht="20.100000000000001" customHeight="1" x14ac:dyDescent="0.3">
      <c r="T622" s="26"/>
    </row>
    <row r="623" spans="20:20" ht="20.100000000000001" customHeight="1" x14ac:dyDescent="0.3">
      <c r="T623" s="26"/>
    </row>
    <row r="624" spans="20:20" ht="20.100000000000001" customHeight="1" x14ac:dyDescent="0.3">
      <c r="T624" s="26"/>
    </row>
    <row r="625" spans="20:20" ht="20.100000000000001" customHeight="1" x14ac:dyDescent="0.3">
      <c r="T625" s="26"/>
    </row>
    <row r="626" spans="20:20" ht="20.100000000000001" customHeight="1" x14ac:dyDescent="0.3">
      <c r="T626" s="26"/>
    </row>
    <row r="627" spans="20:20" ht="20.100000000000001" customHeight="1" x14ac:dyDescent="0.3">
      <c r="T627" s="26"/>
    </row>
    <row r="628" spans="20:20" ht="20.100000000000001" customHeight="1" x14ac:dyDescent="0.3">
      <c r="T628" s="26"/>
    </row>
    <row r="629" spans="20:20" ht="20.100000000000001" customHeight="1" x14ac:dyDescent="0.3">
      <c r="T629" s="26"/>
    </row>
    <row r="630" spans="20:20" ht="20.100000000000001" customHeight="1" x14ac:dyDescent="0.3">
      <c r="T630" s="26"/>
    </row>
    <row r="631" spans="20:20" ht="20.100000000000001" customHeight="1" x14ac:dyDescent="0.3">
      <c r="T631" s="26"/>
    </row>
    <row r="632" spans="20:20" ht="20.100000000000001" customHeight="1" x14ac:dyDescent="0.3">
      <c r="T632" s="26"/>
    </row>
    <row r="633" spans="20:20" ht="20.100000000000001" customHeight="1" x14ac:dyDescent="0.3">
      <c r="T633" s="26"/>
    </row>
    <row r="634" spans="20:20" ht="20.100000000000001" customHeight="1" x14ac:dyDescent="0.3">
      <c r="T634" s="26"/>
    </row>
    <row r="635" spans="20:20" ht="20.100000000000001" customHeight="1" x14ac:dyDescent="0.3">
      <c r="T635" s="26"/>
    </row>
    <row r="636" spans="20:20" ht="20.100000000000001" customHeight="1" x14ac:dyDescent="0.3">
      <c r="T636" s="26"/>
    </row>
    <row r="637" spans="20:20" ht="20.100000000000001" customHeight="1" x14ac:dyDescent="0.3">
      <c r="T637" s="26"/>
    </row>
    <row r="638" spans="20:20" ht="20.100000000000001" customHeight="1" x14ac:dyDescent="0.3">
      <c r="T638" s="26"/>
    </row>
    <row r="639" spans="20:20" ht="20.100000000000001" customHeight="1" x14ac:dyDescent="0.3">
      <c r="T639" s="26"/>
    </row>
    <row r="640" spans="20:20" ht="20.100000000000001" customHeight="1" x14ac:dyDescent="0.3">
      <c r="T640" s="26"/>
    </row>
    <row r="641" spans="20:20" ht="20.100000000000001" customHeight="1" x14ac:dyDescent="0.3">
      <c r="T641" s="26"/>
    </row>
    <row r="642" spans="20:20" ht="20.100000000000001" customHeight="1" x14ac:dyDescent="0.3">
      <c r="T642" s="26"/>
    </row>
    <row r="643" spans="20:20" ht="20.100000000000001" customHeight="1" x14ac:dyDescent="0.3">
      <c r="T643" s="26"/>
    </row>
    <row r="644" spans="20:20" ht="20.100000000000001" customHeight="1" x14ac:dyDescent="0.3">
      <c r="T644" s="26"/>
    </row>
    <row r="645" spans="20:20" ht="20.100000000000001" customHeight="1" x14ac:dyDescent="0.3">
      <c r="T645" s="26"/>
    </row>
    <row r="646" spans="20:20" ht="20.100000000000001" customHeight="1" x14ac:dyDescent="0.3">
      <c r="T646" s="26"/>
    </row>
    <row r="647" spans="20:20" ht="20.100000000000001" customHeight="1" x14ac:dyDescent="0.3">
      <c r="T647" s="26"/>
    </row>
    <row r="648" spans="20:20" ht="20.100000000000001" customHeight="1" x14ac:dyDescent="0.3">
      <c r="T648" s="26"/>
    </row>
    <row r="649" spans="20:20" ht="20.100000000000001" customHeight="1" x14ac:dyDescent="0.3">
      <c r="T649" s="26"/>
    </row>
    <row r="650" spans="20:20" ht="20.100000000000001" customHeight="1" x14ac:dyDescent="0.3">
      <c r="T650" s="26"/>
    </row>
    <row r="651" spans="20:20" ht="20.100000000000001" customHeight="1" x14ac:dyDescent="0.3">
      <c r="T651" s="26"/>
    </row>
    <row r="652" spans="20:20" ht="20.100000000000001" customHeight="1" x14ac:dyDescent="0.3">
      <c r="T652" s="26"/>
    </row>
    <row r="653" spans="20:20" ht="20.100000000000001" customHeight="1" x14ac:dyDescent="0.3">
      <c r="T653" s="26"/>
    </row>
    <row r="654" spans="20:20" ht="20.100000000000001" customHeight="1" x14ac:dyDescent="0.3">
      <c r="T654" s="26"/>
    </row>
    <row r="655" spans="20:20" ht="20.100000000000001" customHeight="1" x14ac:dyDescent="0.3">
      <c r="T655" s="26"/>
    </row>
    <row r="656" spans="20:20" ht="20.100000000000001" customHeight="1" x14ac:dyDescent="0.3">
      <c r="T656" s="26"/>
    </row>
    <row r="657" spans="20:20" ht="20.100000000000001" customHeight="1" x14ac:dyDescent="0.3">
      <c r="T657" s="26"/>
    </row>
    <row r="658" spans="20:20" ht="20.100000000000001" customHeight="1" x14ac:dyDescent="0.3">
      <c r="T658" s="26"/>
    </row>
    <row r="659" spans="20:20" ht="20.100000000000001" customHeight="1" x14ac:dyDescent="0.3">
      <c r="T659" s="26"/>
    </row>
    <row r="660" spans="20:20" ht="20.100000000000001" customHeight="1" x14ac:dyDescent="0.3">
      <c r="T660" s="26"/>
    </row>
    <row r="661" spans="20:20" ht="20.100000000000001" customHeight="1" x14ac:dyDescent="0.3">
      <c r="T661" s="26"/>
    </row>
    <row r="662" spans="20:20" ht="20.100000000000001" customHeight="1" x14ac:dyDescent="0.3">
      <c r="T662" s="26"/>
    </row>
    <row r="663" spans="20:20" ht="20.100000000000001" customHeight="1" x14ac:dyDescent="0.3">
      <c r="T663" s="26"/>
    </row>
    <row r="664" spans="20:20" ht="20.100000000000001" customHeight="1" x14ac:dyDescent="0.3">
      <c r="T664" s="26"/>
    </row>
    <row r="665" spans="20:20" ht="20.100000000000001" customHeight="1" x14ac:dyDescent="0.3">
      <c r="T665" s="26"/>
    </row>
    <row r="666" spans="20:20" ht="20.100000000000001" customHeight="1" x14ac:dyDescent="0.3">
      <c r="T666" s="26"/>
    </row>
    <row r="667" spans="20:20" ht="20.100000000000001" customHeight="1" x14ac:dyDescent="0.3">
      <c r="T667" s="26"/>
    </row>
    <row r="668" spans="20:20" ht="20.100000000000001" customHeight="1" x14ac:dyDescent="0.3">
      <c r="T668" s="26"/>
    </row>
    <row r="669" spans="20:20" ht="20.100000000000001" customHeight="1" x14ac:dyDescent="0.3">
      <c r="T669" s="26"/>
    </row>
    <row r="670" spans="20:20" ht="20.100000000000001" customHeight="1" x14ac:dyDescent="0.3">
      <c r="T670" s="26"/>
    </row>
    <row r="671" spans="20:20" ht="20.100000000000001" customHeight="1" x14ac:dyDescent="0.3">
      <c r="T671" s="26"/>
    </row>
    <row r="672" spans="20:20" ht="20.100000000000001" customHeight="1" x14ac:dyDescent="0.3">
      <c r="T672" s="26"/>
    </row>
    <row r="673" spans="20:20" ht="20.100000000000001" customHeight="1" x14ac:dyDescent="0.3">
      <c r="T673" s="26"/>
    </row>
    <row r="674" spans="20:20" ht="20.100000000000001" customHeight="1" x14ac:dyDescent="0.3">
      <c r="T674" s="26"/>
    </row>
    <row r="675" spans="20:20" ht="20.100000000000001" customHeight="1" x14ac:dyDescent="0.3">
      <c r="T675" s="26"/>
    </row>
    <row r="676" spans="20:20" ht="20.100000000000001" customHeight="1" x14ac:dyDescent="0.3">
      <c r="T676" s="26"/>
    </row>
    <row r="677" spans="20:20" ht="20.100000000000001" customHeight="1" x14ac:dyDescent="0.3">
      <c r="T677" s="26"/>
    </row>
    <row r="678" spans="20:20" ht="20.100000000000001" customHeight="1" x14ac:dyDescent="0.3">
      <c r="T678" s="26"/>
    </row>
    <row r="679" spans="20:20" ht="20.100000000000001" customHeight="1" x14ac:dyDescent="0.3">
      <c r="T679" s="26"/>
    </row>
    <row r="680" spans="20:20" ht="20.100000000000001" customHeight="1" x14ac:dyDescent="0.3">
      <c r="T680" s="26"/>
    </row>
    <row r="681" spans="20:20" ht="20.100000000000001" customHeight="1" x14ac:dyDescent="0.3">
      <c r="T681" s="26"/>
    </row>
    <row r="682" spans="20:20" ht="20.100000000000001" customHeight="1" x14ac:dyDescent="0.3">
      <c r="T682" s="26"/>
    </row>
    <row r="683" spans="20:20" ht="20.100000000000001" customHeight="1" x14ac:dyDescent="0.3">
      <c r="T683" s="26"/>
    </row>
    <row r="684" spans="20:20" ht="20.100000000000001" customHeight="1" x14ac:dyDescent="0.3">
      <c r="T684" s="26"/>
    </row>
    <row r="685" spans="20:20" ht="20.100000000000001" customHeight="1" x14ac:dyDescent="0.3">
      <c r="T685" s="26"/>
    </row>
    <row r="686" spans="20:20" ht="20.100000000000001" customHeight="1" x14ac:dyDescent="0.3">
      <c r="T686" s="26"/>
    </row>
    <row r="687" spans="20:20" ht="20.100000000000001" customHeight="1" x14ac:dyDescent="0.3">
      <c r="T687" s="26"/>
    </row>
    <row r="688" spans="20:20" ht="20.100000000000001" customHeight="1" x14ac:dyDescent="0.3">
      <c r="T688" s="26"/>
    </row>
    <row r="689" spans="20:20" ht="20.100000000000001" customHeight="1" x14ac:dyDescent="0.3">
      <c r="T689" s="26"/>
    </row>
    <row r="690" spans="20:20" ht="20.100000000000001" customHeight="1" x14ac:dyDescent="0.3">
      <c r="T690" s="26"/>
    </row>
    <row r="691" spans="20:20" ht="20.100000000000001" customHeight="1" x14ac:dyDescent="0.3">
      <c r="T691" s="26"/>
    </row>
    <row r="692" spans="20:20" ht="20.100000000000001" customHeight="1" x14ac:dyDescent="0.3">
      <c r="T692" s="26"/>
    </row>
    <row r="693" spans="20:20" ht="20.100000000000001" customHeight="1" x14ac:dyDescent="0.3">
      <c r="T693" s="26"/>
    </row>
    <row r="694" spans="20:20" ht="20.100000000000001" customHeight="1" x14ac:dyDescent="0.3">
      <c r="T694" s="26"/>
    </row>
    <row r="695" spans="20:20" ht="20.100000000000001" customHeight="1" x14ac:dyDescent="0.3">
      <c r="T695" s="26"/>
    </row>
    <row r="696" spans="20:20" ht="20.100000000000001" customHeight="1" x14ac:dyDescent="0.3">
      <c r="T696" s="26"/>
    </row>
    <row r="697" spans="20:20" ht="20.100000000000001" customHeight="1" x14ac:dyDescent="0.3">
      <c r="T697" s="26"/>
    </row>
    <row r="698" spans="20:20" ht="20.100000000000001" customHeight="1" x14ac:dyDescent="0.3">
      <c r="T698" s="26"/>
    </row>
    <row r="699" spans="20:20" ht="20.100000000000001" customHeight="1" x14ac:dyDescent="0.3">
      <c r="T699" s="26"/>
    </row>
    <row r="700" spans="20:20" ht="20.100000000000001" customHeight="1" x14ac:dyDescent="0.3">
      <c r="T700" s="26"/>
    </row>
    <row r="701" spans="20:20" ht="20.100000000000001" customHeight="1" x14ac:dyDescent="0.3">
      <c r="T701" s="26"/>
    </row>
    <row r="702" spans="20:20" ht="20.100000000000001" customHeight="1" x14ac:dyDescent="0.3">
      <c r="T702" s="26"/>
    </row>
    <row r="703" spans="20:20" ht="20.100000000000001" customHeight="1" x14ac:dyDescent="0.3">
      <c r="T703" s="26"/>
    </row>
    <row r="704" spans="20:20" ht="20.100000000000001" customHeight="1" x14ac:dyDescent="0.3">
      <c r="T704" s="26"/>
    </row>
    <row r="705" spans="20:20" ht="20.100000000000001" customHeight="1" x14ac:dyDescent="0.3">
      <c r="T705" s="26"/>
    </row>
    <row r="706" spans="20:20" ht="20.100000000000001" customHeight="1" x14ac:dyDescent="0.3">
      <c r="T706" s="26"/>
    </row>
    <row r="707" spans="20:20" ht="20.100000000000001" customHeight="1" x14ac:dyDescent="0.3">
      <c r="T707" s="26"/>
    </row>
    <row r="708" spans="20:20" ht="20.100000000000001" customHeight="1" x14ac:dyDescent="0.3">
      <c r="T708" s="26"/>
    </row>
    <row r="709" spans="20:20" ht="20.100000000000001" customHeight="1" x14ac:dyDescent="0.3">
      <c r="T709" s="26"/>
    </row>
    <row r="710" spans="20:20" ht="20.100000000000001" customHeight="1" x14ac:dyDescent="0.3">
      <c r="T710" s="26"/>
    </row>
    <row r="711" spans="20:20" ht="20.100000000000001" customHeight="1" x14ac:dyDescent="0.3">
      <c r="T711" s="26"/>
    </row>
    <row r="712" spans="20:20" ht="20.100000000000001" customHeight="1" x14ac:dyDescent="0.3">
      <c r="T712" s="26"/>
    </row>
    <row r="713" spans="20:20" ht="20.100000000000001" customHeight="1" x14ac:dyDescent="0.3">
      <c r="T713" s="26"/>
    </row>
    <row r="714" spans="20:20" ht="20.100000000000001" customHeight="1" x14ac:dyDescent="0.3">
      <c r="T714" s="26"/>
    </row>
    <row r="715" spans="20:20" ht="20.100000000000001" customHeight="1" x14ac:dyDescent="0.3">
      <c r="T715" s="26"/>
    </row>
    <row r="716" spans="20:20" ht="20.100000000000001" customHeight="1" x14ac:dyDescent="0.3">
      <c r="T716" s="26"/>
    </row>
    <row r="717" spans="20:20" ht="20.100000000000001" customHeight="1" x14ac:dyDescent="0.3">
      <c r="T717" s="26"/>
    </row>
    <row r="718" spans="20:20" ht="20.100000000000001" customHeight="1" x14ac:dyDescent="0.3">
      <c r="T718" s="26"/>
    </row>
    <row r="719" spans="20:20" ht="20.100000000000001" customHeight="1" x14ac:dyDescent="0.3">
      <c r="T719" s="26"/>
    </row>
    <row r="720" spans="20:20" ht="20.100000000000001" customHeight="1" x14ac:dyDescent="0.3">
      <c r="T720" s="26"/>
    </row>
    <row r="721" spans="20:20" ht="20.100000000000001" customHeight="1" x14ac:dyDescent="0.3">
      <c r="T721" s="26"/>
    </row>
    <row r="722" spans="20:20" ht="20.100000000000001" customHeight="1" x14ac:dyDescent="0.3">
      <c r="T722" s="26"/>
    </row>
    <row r="723" spans="20:20" ht="20.100000000000001" customHeight="1" x14ac:dyDescent="0.3">
      <c r="T723" s="26"/>
    </row>
    <row r="724" spans="20:20" ht="20.100000000000001" customHeight="1" x14ac:dyDescent="0.3">
      <c r="T724" s="26"/>
    </row>
    <row r="725" spans="20:20" ht="20.100000000000001" customHeight="1" x14ac:dyDescent="0.3">
      <c r="T725" s="26"/>
    </row>
    <row r="726" spans="20:20" ht="20.100000000000001" customHeight="1" x14ac:dyDescent="0.3">
      <c r="T726" s="26"/>
    </row>
    <row r="727" spans="20:20" ht="20.100000000000001" customHeight="1" x14ac:dyDescent="0.3">
      <c r="T727" s="26"/>
    </row>
    <row r="728" spans="20:20" ht="20.100000000000001" customHeight="1" x14ac:dyDescent="0.3">
      <c r="T728" s="26"/>
    </row>
    <row r="729" spans="20:20" ht="20.100000000000001" customHeight="1" x14ac:dyDescent="0.3">
      <c r="T729" s="26"/>
    </row>
    <row r="730" spans="20:20" ht="20.100000000000001" customHeight="1" x14ac:dyDescent="0.3">
      <c r="T730" s="26"/>
    </row>
    <row r="731" spans="20:20" ht="20.100000000000001" customHeight="1" x14ac:dyDescent="0.3">
      <c r="T731" s="26"/>
    </row>
    <row r="732" spans="20:20" ht="20.100000000000001" customHeight="1" x14ac:dyDescent="0.3">
      <c r="T732" s="26"/>
    </row>
    <row r="733" spans="20:20" ht="20.100000000000001" customHeight="1" x14ac:dyDescent="0.3">
      <c r="T733" s="26"/>
    </row>
    <row r="734" spans="20:20" ht="20.100000000000001" customHeight="1" x14ac:dyDescent="0.3">
      <c r="T734" s="26"/>
    </row>
    <row r="735" spans="20:20" ht="20.100000000000001" customHeight="1" x14ac:dyDescent="0.3">
      <c r="T735" s="26"/>
    </row>
    <row r="736" spans="20:20" ht="20.100000000000001" customHeight="1" x14ac:dyDescent="0.3">
      <c r="T736" s="26"/>
    </row>
    <row r="737" spans="20:20" ht="20.100000000000001" customHeight="1" x14ac:dyDescent="0.3">
      <c r="T737" s="26"/>
    </row>
    <row r="738" spans="20:20" ht="20.100000000000001" customHeight="1" x14ac:dyDescent="0.3">
      <c r="T738" s="26"/>
    </row>
    <row r="739" spans="20:20" ht="20.100000000000001" customHeight="1" x14ac:dyDescent="0.3">
      <c r="T739" s="26"/>
    </row>
    <row r="740" spans="20:20" ht="20.100000000000001" customHeight="1" x14ac:dyDescent="0.3">
      <c r="T740" s="26"/>
    </row>
    <row r="741" spans="20:20" ht="20.100000000000001" customHeight="1" x14ac:dyDescent="0.3">
      <c r="T741" s="26"/>
    </row>
    <row r="742" spans="20:20" ht="20.100000000000001" customHeight="1" x14ac:dyDescent="0.3">
      <c r="T742" s="26"/>
    </row>
    <row r="743" spans="20:20" ht="20.100000000000001" customHeight="1" x14ac:dyDescent="0.3">
      <c r="T743" s="26"/>
    </row>
    <row r="744" spans="20:20" ht="20.100000000000001" customHeight="1" x14ac:dyDescent="0.3">
      <c r="T744" s="26"/>
    </row>
    <row r="745" spans="20:20" ht="20.100000000000001" customHeight="1" x14ac:dyDescent="0.3">
      <c r="T745" s="26"/>
    </row>
    <row r="746" spans="20:20" ht="20.100000000000001" customHeight="1" x14ac:dyDescent="0.3">
      <c r="T746" s="26"/>
    </row>
    <row r="747" spans="20:20" ht="20.100000000000001" customHeight="1" x14ac:dyDescent="0.3">
      <c r="T747" s="26"/>
    </row>
    <row r="748" spans="20:20" ht="20.100000000000001" customHeight="1" x14ac:dyDescent="0.3">
      <c r="T748" s="26"/>
    </row>
    <row r="749" spans="20:20" ht="20.100000000000001" customHeight="1" x14ac:dyDescent="0.3">
      <c r="T749" s="26"/>
    </row>
    <row r="750" spans="20:20" ht="20.100000000000001" customHeight="1" x14ac:dyDescent="0.3">
      <c r="T750" s="26"/>
    </row>
    <row r="751" spans="20:20" ht="20.100000000000001" customHeight="1" x14ac:dyDescent="0.3">
      <c r="T751" s="26"/>
    </row>
    <row r="752" spans="20:20" ht="20.100000000000001" customHeight="1" x14ac:dyDescent="0.3">
      <c r="T752" s="26"/>
    </row>
    <row r="753" spans="20:20" ht="20.100000000000001" customHeight="1" x14ac:dyDescent="0.3">
      <c r="T753" s="26"/>
    </row>
    <row r="754" spans="20:20" ht="20.100000000000001" customHeight="1" x14ac:dyDescent="0.3">
      <c r="T754" s="26"/>
    </row>
    <row r="755" spans="20:20" ht="20.100000000000001" customHeight="1" x14ac:dyDescent="0.3">
      <c r="T755" s="26"/>
    </row>
    <row r="756" spans="20:20" ht="20.100000000000001" customHeight="1" x14ac:dyDescent="0.3">
      <c r="T756" s="26"/>
    </row>
    <row r="757" spans="20:20" ht="20.100000000000001" customHeight="1" x14ac:dyDescent="0.3">
      <c r="T757" s="26"/>
    </row>
    <row r="758" spans="20:20" ht="20.100000000000001" customHeight="1" x14ac:dyDescent="0.3">
      <c r="T758" s="26"/>
    </row>
    <row r="759" spans="20:20" ht="20.100000000000001" customHeight="1" x14ac:dyDescent="0.3">
      <c r="T759" s="26"/>
    </row>
    <row r="760" spans="20:20" ht="20.100000000000001" customHeight="1" x14ac:dyDescent="0.3">
      <c r="T760" s="26"/>
    </row>
    <row r="761" spans="20:20" ht="20.100000000000001" customHeight="1" x14ac:dyDescent="0.3">
      <c r="T761" s="26"/>
    </row>
    <row r="762" spans="20:20" ht="20.100000000000001" customHeight="1" x14ac:dyDescent="0.3">
      <c r="T762" s="26"/>
    </row>
    <row r="763" spans="20:20" ht="20.100000000000001" customHeight="1" x14ac:dyDescent="0.3">
      <c r="T763" s="26"/>
    </row>
    <row r="764" spans="20:20" ht="20.100000000000001" customHeight="1" x14ac:dyDescent="0.3">
      <c r="T764" s="26"/>
    </row>
    <row r="765" spans="20:20" ht="20.100000000000001" customHeight="1" x14ac:dyDescent="0.3">
      <c r="T765" s="26"/>
    </row>
    <row r="766" spans="20:20" ht="20.100000000000001" customHeight="1" x14ac:dyDescent="0.3">
      <c r="T766" s="26"/>
    </row>
    <row r="767" spans="20:20" ht="20.100000000000001" customHeight="1" x14ac:dyDescent="0.3">
      <c r="T767" s="26"/>
    </row>
    <row r="768" spans="20:20" ht="20.100000000000001" customHeight="1" x14ac:dyDescent="0.3">
      <c r="T768" s="26"/>
    </row>
    <row r="769" spans="20:20" ht="20.100000000000001" customHeight="1" x14ac:dyDescent="0.3">
      <c r="T769" s="26"/>
    </row>
    <row r="770" spans="20:20" ht="20.100000000000001" customHeight="1" x14ac:dyDescent="0.3">
      <c r="T770" s="26"/>
    </row>
    <row r="771" spans="20:20" ht="20.100000000000001" customHeight="1" x14ac:dyDescent="0.3">
      <c r="T771" s="26"/>
    </row>
    <row r="772" spans="20:20" ht="20.100000000000001" customHeight="1" x14ac:dyDescent="0.3">
      <c r="T772" s="26"/>
    </row>
    <row r="773" spans="20:20" ht="20.100000000000001" customHeight="1" x14ac:dyDescent="0.3">
      <c r="T773" s="26"/>
    </row>
    <row r="774" spans="20:20" ht="20.100000000000001" customHeight="1" x14ac:dyDescent="0.3">
      <c r="T774" s="26"/>
    </row>
    <row r="775" spans="20:20" ht="20.100000000000001" customHeight="1" x14ac:dyDescent="0.3">
      <c r="T775" s="26"/>
    </row>
    <row r="776" spans="20:20" ht="20.100000000000001" customHeight="1" x14ac:dyDescent="0.3">
      <c r="T776" s="26"/>
    </row>
    <row r="777" spans="20:20" ht="20.100000000000001" customHeight="1" x14ac:dyDescent="0.3">
      <c r="T777" s="26"/>
    </row>
    <row r="778" spans="20:20" ht="20.100000000000001" customHeight="1" x14ac:dyDescent="0.3">
      <c r="T778" s="26"/>
    </row>
    <row r="779" spans="20:20" ht="20.100000000000001" customHeight="1" x14ac:dyDescent="0.3">
      <c r="T779" s="26"/>
    </row>
    <row r="780" spans="20:20" ht="20.100000000000001" customHeight="1" x14ac:dyDescent="0.3">
      <c r="T780" s="26"/>
    </row>
    <row r="781" spans="20:20" ht="20.100000000000001" customHeight="1" x14ac:dyDescent="0.3">
      <c r="T781" s="26"/>
    </row>
    <row r="782" spans="20:20" ht="20.100000000000001" customHeight="1" x14ac:dyDescent="0.3">
      <c r="T782" s="26"/>
    </row>
    <row r="783" spans="20:20" ht="20.100000000000001" customHeight="1" x14ac:dyDescent="0.3">
      <c r="T783" s="26"/>
    </row>
    <row r="784" spans="20:20" ht="20.100000000000001" customHeight="1" x14ac:dyDescent="0.3">
      <c r="T784" s="26"/>
    </row>
    <row r="785" spans="20:20" ht="20.100000000000001" customHeight="1" x14ac:dyDescent="0.3">
      <c r="T785" s="26"/>
    </row>
    <row r="786" spans="20:20" ht="20.100000000000001" customHeight="1" x14ac:dyDescent="0.3">
      <c r="T786" s="26"/>
    </row>
    <row r="787" spans="20:20" ht="20.100000000000001" customHeight="1" x14ac:dyDescent="0.3">
      <c r="T787" s="26"/>
    </row>
    <row r="788" spans="20:20" ht="20.100000000000001" customHeight="1" x14ac:dyDescent="0.3">
      <c r="T788" s="26"/>
    </row>
    <row r="789" spans="20:20" ht="20.100000000000001" customHeight="1" x14ac:dyDescent="0.3">
      <c r="T789" s="26"/>
    </row>
    <row r="790" spans="20:20" ht="20.100000000000001" customHeight="1" x14ac:dyDescent="0.3">
      <c r="T790" s="26"/>
    </row>
    <row r="791" spans="20:20" ht="20.100000000000001" customHeight="1" x14ac:dyDescent="0.3">
      <c r="T791" s="26"/>
    </row>
    <row r="792" spans="20:20" ht="20.100000000000001" customHeight="1" x14ac:dyDescent="0.3">
      <c r="T792" s="26"/>
    </row>
    <row r="793" spans="20:20" ht="20.100000000000001" customHeight="1" x14ac:dyDescent="0.3">
      <c r="T793" s="26"/>
    </row>
    <row r="794" spans="20:20" ht="20.100000000000001" customHeight="1" x14ac:dyDescent="0.3">
      <c r="T794" s="26"/>
    </row>
    <row r="795" spans="20:20" ht="20.100000000000001" customHeight="1" x14ac:dyDescent="0.3">
      <c r="T795" s="26"/>
    </row>
    <row r="796" spans="20:20" ht="20.100000000000001" customHeight="1" x14ac:dyDescent="0.3">
      <c r="T796" s="26"/>
    </row>
    <row r="797" spans="20:20" ht="20.100000000000001" customHeight="1" x14ac:dyDescent="0.3">
      <c r="T797" s="26"/>
    </row>
    <row r="798" spans="20:20" ht="20.100000000000001" customHeight="1" x14ac:dyDescent="0.3">
      <c r="T798" s="26"/>
    </row>
    <row r="799" spans="20:20" ht="20.100000000000001" customHeight="1" x14ac:dyDescent="0.3">
      <c r="T799" s="26"/>
    </row>
    <row r="800" spans="20:20" ht="20.100000000000001" customHeight="1" x14ac:dyDescent="0.3">
      <c r="T800" s="26"/>
    </row>
    <row r="801" spans="20:20" ht="20.100000000000001" customHeight="1" x14ac:dyDescent="0.3">
      <c r="T801" s="26"/>
    </row>
    <row r="802" spans="20:20" ht="20.100000000000001" customHeight="1" x14ac:dyDescent="0.3">
      <c r="T802" s="26"/>
    </row>
    <row r="803" spans="20:20" ht="20.100000000000001" customHeight="1" x14ac:dyDescent="0.3">
      <c r="T803" s="26"/>
    </row>
    <row r="804" spans="20:20" ht="20.100000000000001" customHeight="1" x14ac:dyDescent="0.3">
      <c r="T804" s="26"/>
    </row>
    <row r="805" spans="20:20" ht="20.100000000000001" customHeight="1" x14ac:dyDescent="0.3">
      <c r="T805" s="26"/>
    </row>
    <row r="806" spans="20:20" ht="20.100000000000001" customHeight="1" x14ac:dyDescent="0.3">
      <c r="T806" s="26"/>
    </row>
    <row r="807" spans="20:20" ht="20.100000000000001" customHeight="1" x14ac:dyDescent="0.3">
      <c r="T807" s="26"/>
    </row>
    <row r="808" spans="20:20" ht="20.100000000000001" customHeight="1" x14ac:dyDescent="0.3">
      <c r="T808" s="26"/>
    </row>
    <row r="809" spans="20:20" ht="20.100000000000001" customHeight="1" x14ac:dyDescent="0.3">
      <c r="T809" s="26"/>
    </row>
    <row r="810" spans="20:20" ht="20.100000000000001" customHeight="1" x14ac:dyDescent="0.3">
      <c r="T810" s="26"/>
    </row>
    <row r="811" spans="20:20" ht="20.100000000000001" customHeight="1" x14ac:dyDescent="0.3">
      <c r="T811" s="26"/>
    </row>
    <row r="812" spans="20:20" ht="20.100000000000001" customHeight="1" x14ac:dyDescent="0.3">
      <c r="T812" s="26"/>
    </row>
    <row r="813" spans="20:20" ht="20.100000000000001" customHeight="1" x14ac:dyDescent="0.3">
      <c r="T813" s="26"/>
    </row>
    <row r="814" spans="20:20" ht="20.100000000000001" customHeight="1" x14ac:dyDescent="0.3">
      <c r="T814" s="26"/>
    </row>
    <row r="815" spans="20:20" ht="20.100000000000001" customHeight="1" x14ac:dyDescent="0.3">
      <c r="T815" s="26"/>
    </row>
    <row r="816" spans="20:20" ht="20.100000000000001" customHeight="1" x14ac:dyDescent="0.3">
      <c r="T816" s="26"/>
    </row>
    <row r="817" spans="20:20" ht="20.100000000000001" customHeight="1" x14ac:dyDescent="0.3">
      <c r="T817" s="26"/>
    </row>
    <row r="818" spans="20:20" ht="20.100000000000001" customHeight="1" x14ac:dyDescent="0.3">
      <c r="T818" s="26"/>
    </row>
    <row r="819" spans="20:20" ht="20.100000000000001" customHeight="1" x14ac:dyDescent="0.3">
      <c r="T819" s="26"/>
    </row>
    <row r="820" spans="20:20" ht="20.100000000000001" customHeight="1" x14ac:dyDescent="0.3">
      <c r="T820" s="26"/>
    </row>
    <row r="821" spans="20:20" ht="20.100000000000001" customHeight="1" x14ac:dyDescent="0.3">
      <c r="T821" s="26"/>
    </row>
    <row r="822" spans="20:20" ht="20.100000000000001" customHeight="1" x14ac:dyDescent="0.3">
      <c r="T822" s="26"/>
    </row>
    <row r="823" spans="20:20" ht="20.100000000000001" customHeight="1" x14ac:dyDescent="0.3">
      <c r="T823" s="26"/>
    </row>
    <row r="824" spans="20:20" ht="20.100000000000001" customHeight="1" x14ac:dyDescent="0.3">
      <c r="T824" s="26"/>
    </row>
    <row r="825" spans="20:20" ht="20.100000000000001" customHeight="1" x14ac:dyDescent="0.3">
      <c r="T825" s="26"/>
    </row>
    <row r="826" spans="20:20" ht="20.100000000000001" customHeight="1" x14ac:dyDescent="0.3">
      <c r="T826" s="26"/>
    </row>
    <row r="827" spans="20:20" ht="20.100000000000001" customHeight="1" x14ac:dyDescent="0.3">
      <c r="T827" s="26"/>
    </row>
    <row r="828" spans="20:20" ht="20.100000000000001" customHeight="1" x14ac:dyDescent="0.3">
      <c r="T828" s="26"/>
    </row>
    <row r="829" spans="20:20" ht="20.100000000000001" customHeight="1" x14ac:dyDescent="0.3">
      <c r="T829" s="26"/>
    </row>
    <row r="830" spans="20:20" ht="20.100000000000001" customHeight="1" x14ac:dyDescent="0.3">
      <c r="T830" s="26"/>
    </row>
    <row r="831" spans="20:20" ht="20.100000000000001" customHeight="1" x14ac:dyDescent="0.3">
      <c r="T831" s="26"/>
    </row>
    <row r="832" spans="20:20" ht="20.100000000000001" customHeight="1" x14ac:dyDescent="0.3">
      <c r="T832" s="26"/>
    </row>
    <row r="833" spans="20:20" ht="20.100000000000001" customHeight="1" x14ac:dyDescent="0.3">
      <c r="T833" s="26"/>
    </row>
    <row r="834" spans="20:20" ht="20.100000000000001" customHeight="1" x14ac:dyDescent="0.3">
      <c r="T834" s="26"/>
    </row>
    <row r="835" spans="20:20" ht="20.100000000000001" customHeight="1" x14ac:dyDescent="0.3">
      <c r="T835" s="26"/>
    </row>
    <row r="836" spans="20:20" ht="20.100000000000001" customHeight="1" x14ac:dyDescent="0.3">
      <c r="T836" s="26"/>
    </row>
    <row r="837" spans="20:20" ht="20.100000000000001" customHeight="1" x14ac:dyDescent="0.3">
      <c r="T837" s="26"/>
    </row>
    <row r="838" spans="20:20" ht="20.100000000000001" customHeight="1" x14ac:dyDescent="0.3">
      <c r="T838" s="26"/>
    </row>
    <row r="839" spans="20:20" ht="20.100000000000001" customHeight="1" x14ac:dyDescent="0.3">
      <c r="T839" s="26"/>
    </row>
    <row r="840" spans="20:20" ht="20.100000000000001" customHeight="1" x14ac:dyDescent="0.3">
      <c r="T840" s="26"/>
    </row>
    <row r="841" spans="20:20" ht="20.100000000000001" customHeight="1" x14ac:dyDescent="0.3">
      <c r="T841" s="26"/>
    </row>
    <row r="842" spans="20:20" ht="20.100000000000001" customHeight="1" x14ac:dyDescent="0.3">
      <c r="T842" s="26"/>
    </row>
    <row r="843" spans="20:20" ht="20.100000000000001" customHeight="1" x14ac:dyDescent="0.3">
      <c r="T843" s="26"/>
    </row>
    <row r="844" spans="20:20" ht="20.100000000000001" customHeight="1" x14ac:dyDescent="0.3">
      <c r="T844" s="26"/>
    </row>
    <row r="845" spans="20:20" ht="20.100000000000001" customHeight="1" x14ac:dyDescent="0.3">
      <c r="T845" s="26"/>
    </row>
    <row r="846" spans="20:20" ht="20.100000000000001" customHeight="1" x14ac:dyDescent="0.3">
      <c r="T846" s="26"/>
    </row>
    <row r="847" spans="20:20" ht="20.100000000000001" customHeight="1" x14ac:dyDescent="0.3">
      <c r="T847" s="26"/>
    </row>
    <row r="848" spans="20:20" ht="20.100000000000001" customHeight="1" x14ac:dyDescent="0.3">
      <c r="T848" s="26"/>
    </row>
    <row r="849" spans="20:20" ht="20.100000000000001" customHeight="1" x14ac:dyDescent="0.3">
      <c r="T849" s="26"/>
    </row>
    <row r="850" spans="20:20" ht="20.100000000000001" customHeight="1" x14ac:dyDescent="0.3">
      <c r="T850" s="26"/>
    </row>
    <row r="851" spans="20:20" ht="20.100000000000001" customHeight="1" x14ac:dyDescent="0.3">
      <c r="T851" s="26"/>
    </row>
    <row r="852" spans="20:20" ht="20.100000000000001" customHeight="1" x14ac:dyDescent="0.3">
      <c r="T852" s="26"/>
    </row>
    <row r="853" spans="20:20" ht="20.100000000000001" customHeight="1" x14ac:dyDescent="0.3">
      <c r="T853" s="26"/>
    </row>
    <row r="854" spans="20:20" ht="20.100000000000001" customHeight="1" x14ac:dyDescent="0.3">
      <c r="T854" s="26"/>
    </row>
    <row r="855" spans="20:20" ht="20.100000000000001" customHeight="1" x14ac:dyDescent="0.3">
      <c r="T855" s="26"/>
    </row>
    <row r="856" spans="20:20" ht="20.100000000000001" customHeight="1" x14ac:dyDescent="0.3">
      <c r="T856" s="26"/>
    </row>
    <row r="857" spans="20:20" ht="20.100000000000001" customHeight="1" x14ac:dyDescent="0.3">
      <c r="T857" s="26"/>
    </row>
    <row r="858" spans="20:20" ht="20.100000000000001" customHeight="1" x14ac:dyDescent="0.3">
      <c r="T858" s="26"/>
    </row>
    <row r="859" spans="20:20" ht="20.100000000000001" customHeight="1" x14ac:dyDescent="0.3">
      <c r="T859" s="26"/>
    </row>
    <row r="860" spans="20:20" ht="20.100000000000001" customHeight="1" x14ac:dyDescent="0.3">
      <c r="T860" s="26"/>
    </row>
    <row r="861" spans="20:20" ht="20.100000000000001" customHeight="1" x14ac:dyDescent="0.3">
      <c r="T861" s="26"/>
    </row>
    <row r="862" spans="20:20" ht="20.100000000000001" customHeight="1" x14ac:dyDescent="0.3">
      <c r="T862" s="26"/>
    </row>
    <row r="863" spans="20:20" ht="20.100000000000001" customHeight="1" x14ac:dyDescent="0.3">
      <c r="T863" s="26"/>
    </row>
    <row r="864" spans="20:20" ht="20.100000000000001" customHeight="1" x14ac:dyDescent="0.3">
      <c r="T864" s="26"/>
    </row>
    <row r="865" spans="20:20" ht="20.100000000000001" customHeight="1" x14ac:dyDescent="0.3">
      <c r="T865" s="26"/>
    </row>
    <row r="866" spans="20:20" ht="20.100000000000001" customHeight="1" x14ac:dyDescent="0.3">
      <c r="T866" s="26"/>
    </row>
    <row r="867" spans="20:20" ht="20.100000000000001" customHeight="1" x14ac:dyDescent="0.3">
      <c r="T867" s="26"/>
    </row>
    <row r="868" spans="20:20" ht="20.100000000000001" customHeight="1" x14ac:dyDescent="0.3">
      <c r="T868" s="26"/>
    </row>
    <row r="869" spans="20:20" ht="20.100000000000001" customHeight="1" x14ac:dyDescent="0.3">
      <c r="T869" s="26"/>
    </row>
    <row r="870" spans="20:20" ht="20.100000000000001" customHeight="1" x14ac:dyDescent="0.3">
      <c r="T870" s="26"/>
    </row>
    <row r="871" spans="20:20" ht="20.100000000000001" customHeight="1" x14ac:dyDescent="0.3">
      <c r="T871" s="26"/>
    </row>
    <row r="872" spans="20:20" ht="20.100000000000001" customHeight="1" x14ac:dyDescent="0.3">
      <c r="T872" s="26"/>
    </row>
    <row r="873" spans="20:20" ht="20.100000000000001" customHeight="1" x14ac:dyDescent="0.3">
      <c r="T873" s="26"/>
    </row>
    <row r="874" spans="20:20" ht="20.100000000000001" customHeight="1" x14ac:dyDescent="0.3">
      <c r="T874" s="26"/>
    </row>
    <row r="875" spans="20:20" ht="20.100000000000001" customHeight="1" x14ac:dyDescent="0.3">
      <c r="T875" s="26"/>
    </row>
    <row r="876" spans="20:20" ht="20.100000000000001" customHeight="1" x14ac:dyDescent="0.3">
      <c r="T876" s="26"/>
    </row>
    <row r="877" spans="20:20" ht="20.100000000000001" customHeight="1" x14ac:dyDescent="0.3">
      <c r="T877" s="26"/>
    </row>
    <row r="878" spans="20:20" ht="20.100000000000001" customHeight="1" x14ac:dyDescent="0.3">
      <c r="T878" s="26"/>
    </row>
    <row r="879" spans="20:20" ht="20.100000000000001" customHeight="1" x14ac:dyDescent="0.3">
      <c r="T879" s="26"/>
    </row>
    <row r="880" spans="20:20" ht="20.100000000000001" customHeight="1" x14ac:dyDescent="0.3">
      <c r="T880" s="26"/>
    </row>
    <row r="881" spans="20:20" ht="20.100000000000001" customHeight="1" x14ac:dyDescent="0.3">
      <c r="T881" s="26"/>
    </row>
    <row r="882" spans="20:20" ht="20.100000000000001" customHeight="1" x14ac:dyDescent="0.3">
      <c r="T882" s="26"/>
    </row>
    <row r="883" spans="20:20" ht="20.100000000000001" customHeight="1" x14ac:dyDescent="0.3">
      <c r="T883" s="26"/>
    </row>
    <row r="884" spans="20:20" ht="20.100000000000001" customHeight="1" x14ac:dyDescent="0.3">
      <c r="T884" s="26"/>
    </row>
    <row r="885" spans="20:20" ht="20.100000000000001" customHeight="1" x14ac:dyDescent="0.3">
      <c r="T885" s="26"/>
    </row>
    <row r="886" spans="20:20" ht="20.100000000000001" customHeight="1" x14ac:dyDescent="0.3">
      <c r="T886" s="26"/>
    </row>
    <row r="887" spans="20:20" ht="20.100000000000001" customHeight="1" x14ac:dyDescent="0.3">
      <c r="T887" s="26"/>
    </row>
    <row r="888" spans="20:20" ht="20.100000000000001" customHeight="1" x14ac:dyDescent="0.3">
      <c r="T888" s="26"/>
    </row>
    <row r="889" spans="20:20" ht="20.100000000000001" customHeight="1" x14ac:dyDescent="0.3">
      <c r="T889" s="26"/>
    </row>
    <row r="890" spans="20:20" ht="20.100000000000001" customHeight="1" x14ac:dyDescent="0.3">
      <c r="T890" s="26"/>
    </row>
    <row r="891" spans="20:20" ht="20.100000000000001" customHeight="1" x14ac:dyDescent="0.3">
      <c r="T891" s="26"/>
    </row>
    <row r="892" spans="20:20" ht="20.100000000000001" customHeight="1" x14ac:dyDescent="0.3">
      <c r="T892" s="26"/>
    </row>
    <row r="893" spans="20:20" ht="20.100000000000001" customHeight="1" x14ac:dyDescent="0.3">
      <c r="T893" s="26"/>
    </row>
    <row r="894" spans="20:20" ht="20.100000000000001" customHeight="1" x14ac:dyDescent="0.3">
      <c r="T894" s="26"/>
    </row>
    <row r="895" spans="20:20" ht="20.100000000000001" customHeight="1" x14ac:dyDescent="0.3">
      <c r="T895" s="26"/>
    </row>
    <row r="896" spans="20:20" ht="20.100000000000001" customHeight="1" x14ac:dyDescent="0.3">
      <c r="T896" s="26"/>
    </row>
    <row r="897" spans="20:20" ht="20.100000000000001" customHeight="1" x14ac:dyDescent="0.3">
      <c r="T897" s="26"/>
    </row>
    <row r="898" spans="20:20" ht="20.100000000000001" customHeight="1" x14ac:dyDescent="0.3">
      <c r="T898" s="26"/>
    </row>
    <row r="899" spans="20:20" ht="20.100000000000001" customHeight="1" x14ac:dyDescent="0.3">
      <c r="T899" s="26"/>
    </row>
    <row r="900" spans="20:20" ht="20.100000000000001" customHeight="1" x14ac:dyDescent="0.3">
      <c r="T900" s="26"/>
    </row>
    <row r="901" spans="20:20" ht="20.100000000000001" customHeight="1" x14ac:dyDescent="0.3">
      <c r="T901" s="26"/>
    </row>
    <row r="902" spans="20:20" ht="20.100000000000001" customHeight="1" x14ac:dyDescent="0.3">
      <c r="T902" s="26"/>
    </row>
    <row r="903" spans="20:20" ht="20.100000000000001" customHeight="1" x14ac:dyDescent="0.3">
      <c r="T903" s="26"/>
    </row>
    <row r="904" spans="20:20" ht="20.100000000000001" customHeight="1" x14ac:dyDescent="0.3">
      <c r="T904" s="26"/>
    </row>
    <row r="905" spans="20:20" ht="20.100000000000001" customHeight="1" x14ac:dyDescent="0.3">
      <c r="T905" s="26"/>
    </row>
    <row r="906" spans="20:20" ht="20.100000000000001" customHeight="1" x14ac:dyDescent="0.3">
      <c r="T906" s="26"/>
    </row>
    <row r="907" spans="20:20" ht="20.100000000000001" customHeight="1" x14ac:dyDescent="0.3">
      <c r="T907" s="26"/>
    </row>
    <row r="908" spans="20:20" ht="20.100000000000001" customHeight="1" x14ac:dyDescent="0.3">
      <c r="T908" s="26"/>
    </row>
    <row r="909" spans="20:20" ht="20.100000000000001" customHeight="1" x14ac:dyDescent="0.3">
      <c r="T909" s="26"/>
    </row>
    <row r="910" spans="20:20" ht="20.100000000000001" customHeight="1" x14ac:dyDescent="0.3">
      <c r="T910" s="26"/>
    </row>
    <row r="911" spans="20:20" ht="20.100000000000001" customHeight="1" x14ac:dyDescent="0.3">
      <c r="T911" s="26"/>
    </row>
    <row r="912" spans="20:20" ht="20.100000000000001" customHeight="1" x14ac:dyDescent="0.3">
      <c r="T912" s="26"/>
    </row>
    <row r="913" spans="20:20" ht="20.100000000000001" customHeight="1" x14ac:dyDescent="0.3">
      <c r="T913" s="26"/>
    </row>
    <row r="914" spans="20:20" ht="20.100000000000001" customHeight="1" x14ac:dyDescent="0.3">
      <c r="T914" s="26"/>
    </row>
    <row r="915" spans="20:20" ht="20.100000000000001" customHeight="1" x14ac:dyDescent="0.3">
      <c r="T915" s="26"/>
    </row>
    <row r="916" spans="20:20" ht="20.100000000000001" customHeight="1" x14ac:dyDescent="0.3">
      <c r="T916" s="26"/>
    </row>
    <row r="917" spans="20:20" ht="20.100000000000001" customHeight="1" x14ac:dyDescent="0.3">
      <c r="T917" s="26"/>
    </row>
    <row r="918" spans="20:20" ht="20.100000000000001" customHeight="1" x14ac:dyDescent="0.3">
      <c r="T918" s="26"/>
    </row>
    <row r="919" spans="20:20" ht="20.100000000000001" customHeight="1" x14ac:dyDescent="0.3">
      <c r="T919" s="26"/>
    </row>
    <row r="920" spans="20:20" ht="20.100000000000001" customHeight="1" x14ac:dyDescent="0.3">
      <c r="T920" s="26"/>
    </row>
    <row r="921" spans="20:20" ht="20.100000000000001" customHeight="1" x14ac:dyDescent="0.3">
      <c r="T921" s="26"/>
    </row>
    <row r="922" spans="20:20" ht="20.100000000000001" customHeight="1" x14ac:dyDescent="0.3">
      <c r="T922" s="26"/>
    </row>
    <row r="923" spans="20:20" ht="20.100000000000001" customHeight="1" x14ac:dyDescent="0.3">
      <c r="T923" s="26"/>
    </row>
    <row r="924" spans="20:20" ht="20.100000000000001" customHeight="1" x14ac:dyDescent="0.3">
      <c r="T924" s="26"/>
    </row>
    <row r="925" spans="20:20" ht="20.100000000000001" customHeight="1" x14ac:dyDescent="0.3">
      <c r="T925" s="26"/>
    </row>
    <row r="926" spans="20:20" ht="20.100000000000001" customHeight="1" x14ac:dyDescent="0.3">
      <c r="T926" s="26"/>
    </row>
    <row r="927" spans="20:20" ht="20.100000000000001" customHeight="1" x14ac:dyDescent="0.3">
      <c r="T927" s="26"/>
    </row>
    <row r="928" spans="20:20" ht="20.100000000000001" customHeight="1" x14ac:dyDescent="0.3">
      <c r="T928" s="26"/>
    </row>
    <row r="929" spans="20:20" ht="20.100000000000001" customHeight="1" x14ac:dyDescent="0.3">
      <c r="T929" s="26"/>
    </row>
    <row r="930" spans="20:20" ht="20.100000000000001" customHeight="1" x14ac:dyDescent="0.3">
      <c r="T930" s="26"/>
    </row>
    <row r="931" spans="20:20" ht="20.100000000000001" customHeight="1" x14ac:dyDescent="0.3">
      <c r="T931" s="26"/>
    </row>
    <row r="932" spans="20:20" ht="20.100000000000001" customHeight="1" x14ac:dyDescent="0.3">
      <c r="T932" s="26"/>
    </row>
    <row r="933" spans="20:20" ht="20.100000000000001" customHeight="1" x14ac:dyDescent="0.3">
      <c r="T933" s="26"/>
    </row>
    <row r="934" spans="20:20" ht="20.100000000000001" customHeight="1" x14ac:dyDescent="0.3">
      <c r="T934" s="26"/>
    </row>
    <row r="935" spans="20:20" ht="20.100000000000001" customHeight="1" x14ac:dyDescent="0.3">
      <c r="T935" s="26"/>
    </row>
    <row r="936" spans="20:20" ht="20.100000000000001" customHeight="1" x14ac:dyDescent="0.3">
      <c r="T936" s="26"/>
    </row>
    <row r="937" spans="20:20" ht="20.100000000000001" customHeight="1" x14ac:dyDescent="0.3">
      <c r="T937" s="26"/>
    </row>
    <row r="938" spans="20:20" ht="20.100000000000001" customHeight="1" x14ac:dyDescent="0.3">
      <c r="T938" s="26"/>
    </row>
    <row r="939" spans="20:20" ht="20.100000000000001" customHeight="1" x14ac:dyDescent="0.3">
      <c r="T939" s="26"/>
    </row>
    <row r="940" spans="20:20" ht="20.100000000000001" customHeight="1" x14ac:dyDescent="0.3">
      <c r="T940" s="26"/>
    </row>
    <row r="941" spans="20:20" ht="20.100000000000001" customHeight="1" x14ac:dyDescent="0.3">
      <c r="T941" s="26"/>
    </row>
    <row r="942" spans="20:20" ht="20.100000000000001" customHeight="1" x14ac:dyDescent="0.3">
      <c r="T942" s="26"/>
    </row>
    <row r="943" spans="20:20" ht="20.100000000000001" customHeight="1" x14ac:dyDescent="0.3">
      <c r="T943" s="26"/>
    </row>
    <row r="944" spans="20:20" ht="20.100000000000001" customHeight="1" x14ac:dyDescent="0.3">
      <c r="T944" s="26"/>
    </row>
    <row r="945" spans="20:20" ht="20.100000000000001" customHeight="1" x14ac:dyDescent="0.3">
      <c r="T945" s="26"/>
    </row>
    <row r="946" spans="20:20" ht="20.100000000000001" customHeight="1" x14ac:dyDescent="0.3">
      <c r="T946" s="26"/>
    </row>
    <row r="947" spans="20:20" ht="20.100000000000001" customHeight="1" x14ac:dyDescent="0.3">
      <c r="T947" s="26"/>
    </row>
    <row r="948" spans="20:20" ht="20.100000000000001" customHeight="1" x14ac:dyDescent="0.3">
      <c r="T948" s="26"/>
    </row>
    <row r="949" spans="20:20" ht="20.100000000000001" customHeight="1" x14ac:dyDescent="0.3">
      <c r="T949" s="26"/>
    </row>
    <row r="950" spans="20:20" ht="20.100000000000001" customHeight="1" x14ac:dyDescent="0.3">
      <c r="T950" s="26"/>
    </row>
    <row r="951" spans="20:20" ht="20.100000000000001" customHeight="1" x14ac:dyDescent="0.3">
      <c r="T951" s="26"/>
    </row>
    <row r="952" spans="20:20" ht="20.100000000000001" customHeight="1" x14ac:dyDescent="0.3">
      <c r="T952" s="26"/>
    </row>
    <row r="953" spans="20:20" ht="20.100000000000001" customHeight="1" x14ac:dyDescent="0.3">
      <c r="T953" s="26"/>
    </row>
    <row r="954" spans="20:20" ht="20.100000000000001" customHeight="1" x14ac:dyDescent="0.3">
      <c r="T954" s="26"/>
    </row>
    <row r="955" spans="20:20" ht="20.100000000000001" customHeight="1" x14ac:dyDescent="0.3">
      <c r="T955" s="26"/>
    </row>
    <row r="956" spans="20:20" ht="20.100000000000001" customHeight="1" x14ac:dyDescent="0.3">
      <c r="T956" s="26"/>
    </row>
    <row r="957" spans="20:20" ht="20.100000000000001" customHeight="1" x14ac:dyDescent="0.3">
      <c r="T957" s="26"/>
    </row>
    <row r="958" spans="20:20" ht="20.100000000000001" customHeight="1" x14ac:dyDescent="0.3">
      <c r="T958" s="26"/>
    </row>
    <row r="959" spans="20:20" ht="20.100000000000001" customHeight="1" x14ac:dyDescent="0.3">
      <c r="T959" s="26"/>
    </row>
    <row r="960" spans="20:20" ht="20.100000000000001" customHeight="1" x14ac:dyDescent="0.3">
      <c r="T960" s="26"/>
    </row>
    <row r="961" spans="20:20" ht="20.100000000000001" customHeight="1" x14ac:dyDescent="0.3">
      <c r="T961" s="26"/>
    </row>
    <row r="962" spans="20:20" ht="20.100000000000001" customHeight="1" x14ac:dyDescent="0.3">
      <c r="T962" s="26"/>
    </row>
    <row r="963" spans="20:20" ht="20.100000000000001" customHeight="1" x14ac:dyDescent="0.3">
      <c r="T963" s="26"/>
    </row>
    <row r="964" spans="20:20" ht="20.100000000000001" customHeight="1" x14ac:dyDescent="0.3">
      <c r="T964" s="26"/>
    </row>
    <row r="965" spans="20:20" ht="20.100000000000001" customHeight="1" x14ac:dyDescent="0.3">
      <c r="T965" s="26"/>
    </row>
    <row r="966" spans="20:20" ht="20.100000000000001" customHeight="1" x14ac:dyDescent="0.3">
      <c r="T966" s="26"/>
    </row>
    <row r="967" spans="20:20" ht="20.100000000000001" customHeight="1" x14ac:dyDescent="0.3">
      <c r="T967" s="26"/>
    </row>
    <row r="968" spans="20:20" ht="20.100000000000001" customHeight="1" x14ac:dyDescent="0.3">
      <c r="T968" s="26"/>
    </row>
    <row r="969" spans="20:20" ht="20.100000000000001" customHeight="1" x14ac:dyDescent="0.3">
      <c r="T969" s="26"/>
    </row>
    <row r="970" spans="20:20" ht="20.100000000000001" customHeight="1" x14ac:dyDescent="0.3">
      <c r="T970" s="26"/>
    </row>
    <row r="971" spans="20:20" ht="20.100000000000001" customHeight="1" x14ac:dyDescent="0.3">
      <c r="T971" s="26"/>
    </row>
    <row r="972" spans="20:20" ht="20.100000000000001" customHeight="1" x14ac:dyDescent="0.3">
      <c r="T972" s="26"/>
    </row>
    <row r="973" spans="20:20" ht="20.100000000000001" customHeight="1" x14ac:dyDescent="0.3">
      <c r="T973" s="26"/>
    </row>
    <row r="974" spans="20:20" ht="20.100000000000001" customHeight="1" x14ac:dyDescent="0.3">
      <c r="T974" s="26"/>
    </row>
    <row r="975" spans="20:20" ht="20.100000000000001" customHeight="1" x14ac:dyDescent="0.3">
      <c r="T975" s="26"/>
    </row>
    <row r="976" spans="20:20" ht="20.100000000000001" customHeight="1" x14ac:dyDescent="0.3">
      <c r="T976" s="26"/>
    </row>
    <row r="977" spans="20:20" ht="20.100000000000001" customHeight="1" x14ac:dyDescent="0.3">
      <c r="T977" s="26"/>
    </row>
    <row r="978" spans="20:20" ht="20.100000000000001" customHeight="1" x14ac:dyDescent="0.3">
      <c r="T978" s="26"/>
    </row>
    <row r="979" spans="20:20" ht="20.100000000000001" customHeight="1" x14ac:dyDescent="0.3">
      <c r="T979" s="26"/>
    </row>
    <row r="980" spans="20:20" ht="20.100000000000001" customHeight="1" x14ac:dyDescent="0.3">
      <c r="T980" s="26"/>
    </row>
    <row r="981" spans="20:20" ht="20.100000000000001" customHeight="1" x14ac:dyDescent="0.3">
      <c r="T981" s="26"/>
    </row>
    <row r="982" spans="20:20" ht="20.100000000000001" customHeight="1" x14ac:dyDescent="0.3">
      <c r="T982" s="26"/>
    </row>
    <row r="983" spans="20:20" ht="20.100000000000001" customHeight="1" x14ac:dyDescent="0.3">
      <c r="T983" s="26"/>
    </row>
    <row r="984" spans="20:20" ht="20.100000000000001" customHeight="1" x14ac:dyDescent="0.3">
      <c r="T984" s="26"/>
    </row>
    <row r="985" spans="20:20" ht="20.100000000000001" customHeight="1" x14ac:dyDescent="0.3">
      <c r="T985" s="26"/>
    </row>
    <row r="986" spans="20:20" ht="20.100000000000001" customHeight="1" x14ac:dyDescent="0.3">
      <c r="T986" s="26"/>
    </row>
    <row r="987" spans="20:20" ht="20.100000000000001" customHeight="1" x14ac:dyDescent="0.3">
      <c r="T987" s="26"/>
    </row>
    <row r="988" spans="20:20" ht="20.100000000000001" customHeight="1" x14ac:dyDescent="0.3">
      <c r="T988" s="26"/>
    </row>
    <row r="989" spans="20:20" ht="20.100000000000001" customHeight="1" x14ac:dyDescent="0.3">
      <c r="T989" s="26"/>
    </row>
    <row r="990" spans="20:20" ht="20.100000000000001" customHeight="1" x14ac:dyDescent="0.3">
      <c r="T990" s="26"/>
    </row>
    <row r="991" spans="20:20" ht="20.100000000000001" customHeight="1" x14ac:dyDescent="0.3">
      <c r="T991" s="26"/>
    </row>
    <row r="992" spans="20:20" ht="20.100000000000001" customHeight="1" x14ac:dyDescent="0.3">
      <c r="T992" s="26"/>
    </row>
    <row r="993" spans="20:20" ht="20.100000000000001" customHeight="1" x14ac:dyDescent="0.3">
      <c r="T993" s="26"/>
    </row>
    <row r="994" spans="20:20" ht="20.100000000000001" customHeight="1" x14ac:dyDescent="0.3">
      <c r="T994" s="26"/>
    </row>
    <row r="995" spans="20:20" ht="20.100000000000001" customHeight="1" x14ac:dyDescent="0.3">
      <c r="T995" s="26"/>
    </row>
    <row r="996" spans="20:20" ht="20.100000000000001" customHeight="1" x14ac:dyDescent="0.3">
      <c r="T996" s="26"/>
    </row>
    <row r="997" spans="20:20" ht="20.100000000000001" customHeight="1" x14ac:dyDescent="0.3">
      <c r="T997" s="26"/>
    </row>
    <row r="998" spans="20:20" ht="20.100000000000001" customHeight="1" x14ac:dyDescent="0.3">
      <c r="T998" s="26"/>
    </row>
    <row r="999" spans="20:20" ht="20.100000000000001" customHeight="1" x14ac:dyDescent="0.3">
      <c r="T999" s="26"/>
    </row>
    <row r="1000" spans="20:20" ht="20.100000000000001" customHeight="1" x14ac:dyDescent="0.3">
      <c r="T1000" s="26"/>
    </row>
    <row r="1001" spans="20:20" ht="20.100000000000001" customHeight="1" x14ac:dyDescent="0.3">
      <c r="T1001" s="26"/>
    </row>
    <row r="1002" spans="20:20" ht="20.100000000000001" customHeight="1" x14ac:dyDescent="0.3">
      <c r="T1002" s="26"/>
    </row>
    <row r="1003" spans="20:20" ht="20.100000000000001" customHeight="1" x14ac:dyDescent="0.3">
      <c r="T1003" s="26"/>
    </row>
    <row r="1004" spans="20:20" ht="20.100000000000001" customHeight="1" x14ac:dyDescent="0.3">
      <c r="T1004" s="26"/>
    </row>
    <row r="1005" spans="20:20" ht="20.100000000000001" customHeight="1" x14ac:dyDescent="0.3">
      <c r="T1005" s="26"/>
    </row>
    <row r="1006" spans="20:20" ht="20.100000000000001" customHeight="1" x14ac:dyDescent="0.3">
      <c r="T1006" s="26"/>
    </row>
    <row r="1007" spans="20:20" ht="20.100000000000001" customHeight="1" x14ac:dyDescent="0.3">
      <c r="T1007" s="26"/>
    </row>
    <row r="1008" spans="20:20" ht="20.100000000000001" customHeight="1" x14ac:dyDescent="0.3">
      <c r="T1008" s="26"/>
    </row>
    <row r="1009" spans="20:20" ht="20.100000000000001" customHeight="1" x14ac:dyDescent="0.3">
      <c r="T1009" s="26"/>
    </row>
    <row r="1010" spans="20:20" ht="20.100000000000001" customHeight="1" x14ac:dyDescent="0.3">
      <c r="T1010" s="26"/>
    </row>
    <row r="1011" spans="20:20" ht="20.100000000000001" customHeight="1" x14ac:dyDescent="0.3">
      <c r="T1011" s="26"/>
    </row>
    <row r="1012" spans="20:20" ht="20.100000000000001" customHeight="1" x14ac:dyDescent="0.3">
      <c r="T1012" s="26"/>
    </row>
    <row r="1013" spans="20:20" ht="20.100000000000001" customHeight="1" x14ac:dyDescent="0.3">
      <c r="T1013" s="26"/>
    </row>
    <row r="1014" spans="20:20" ht="20.100000000000001" customHeight="1" x14ac:dyDescent="0.3">
      <c r="T1014" s="26"/>
    </row>
    <row r="1015" spans="20:20" ht="20.100000000000001" customHeight="1" x14ac:dyDescent="0.3">
      <c r="T1015" s="26"/>
    </row>
    <row r="1016" spans="20:20" ht="20.100000000000001" customHeight="1" x14ac:dyDescent="0.3">
      <c r="T1016" s="26"/>
    </row>
    <row r="1017" spans="20:20" ht="20.100000000000001" customHeight="1" x14ac:dyDescent="0.3">
      <c r="T1017" s="26"/>
    </row>
    <row r="1018" spans="20:20" ht="20.100000000000001" customHeight="1" x14ac:dyDescent="0.3">
      <c r="T1018" s="26"/>
    </row>
    <row r="1019" spans="20:20" ht="20.100000000000001" customHeight="1" x14ac:dyDescent="0.3">
      <c r="T1019" s="26"/>
    </row>
    <row r="1020" spans="20:20" ht="20.100000000000001" customHeight="1" x14ac:dyDescent="0.3">
      <c r="T1020" s="26"/>
    </row>
    <row r="1021" spans="20:20" ht="20.100000000000001" customHeight="1" x14ac:dyDescent="0.3">
      <c r="T1021" s="26"/>
    </row>
    <row r="1022" spans="20:20" ht="20.100000000000001" customHeight="1" x14ac:dyDescent="0.3">
      <c r="T1022" s="26"/>
    </row>
    <row r="1023" spans="20:20" ht="20.100000000000001" customHeight="1" x14ac:dyDescent="0.3">
      <c r="T1023" s="26"/>
    </row>
    <row r="1024" spans="20:20" ht="20.100000000000001" customHeight="1" x14ac:dyDescent="0.3">
      <c r="T1024" s="26"/>
    </row>
    <row r="1025" spans="20:20" ht="20.100000000000001" customHeight="1" x14ac:dyDescent="0.3">
      <c r="T1025" s="26"/>
    </row>
    <row r="1026" spans="20:20" ht="20.100000000000001" customHeight="1" x14ac:dyDescent="0.3">
      <c r="T1026" s="26"/>
    </row>
    <row r="1027" spans="20:20" ht="20.100000000000001" customHeight="1" x14ac:dyDescent="0.3">
      <c r="T1027" s="26"/>
    </row>
    <row r="1028" spans="20:20" ht="20.100000000000001" customHeight="1" x14ac:dyDescent="0.3">
      <c r="T1028" s="26"/>
    </row>
    <row r="1029" spans="20:20" ht="20.100000000000001" customHeight="1" x14ac:dyDescent="0.3">
      <c r="T1029" s="26"/>
    </row>
    <row r="1030" spans="20:20" ht="20.100000000000001" customHeight="1" x14ac:dyDescent="0.3">
      <c r="T1030" s="26"/>
    </row>
    <row r="1031" spans="20:20" ht="20.100000000000001" customHeight="1" x14ac:dyDescent="0.3">
      <c r="T1031" s="26"/>
    </row>
    <row r="1032" spans="20:20" ht="20.100000000000001" customHeight="1" x14ac:dyDescent="0.3">
      <c r="T1032" s="26"/>
    </row>
    <row r="1033" spans="20:20" x14ac:dyDescent="0.3">
      <c r="T1033" s="26"/>
    </row>
    <row r="1034" spans="20:20" x14ac:dyDescent="0.3">
      <c r="T1034" s="26"/>
    </row>
    <row r="1035" spans="20:20" x14ac:dyDescent="0.3">
      <c r="T1035" s="26"/>
    </row>
    <row r="1036" spans="20:20" x14ac:dyDescent="0.3">
      <c r="T1036" s="26"/>
    </row>
    <row r="1037" spans="20:20" x14ac:dyDescent="0.3">
      <c r="T1037" s="26"/>
    </row>
    <row r="1038" spans="20:20" x14ac:dyDescent="0.3">
      <c r="T1038" s="26"/>
    </row>
    <row r="1039" spans="20:20" x14ac:dyDescent="0.3">
      <c r="T1039" s="26"/>
    </row>
    <row r="1040" spans="20:20" x14ac:dyDescent="0.3">
      <c r="T1040" s="26"/>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099C-B0BA-4ED4-B595-D6FB3A1C0C43}">
  <dimension ref="A1:B127"/>
  <sheetViews>
    <sheetView rightToLeft="1" workbookViewId="0">
      <selection activeCell="E10" sqref="E10"/>
    </sheetView>
  </sheetViews>
  <sheetFormatPr defaultRowHeight="14.4" x14ac:dyDescent="0.3"/>
  <cols>
    <col min="1" max="1" width="30" bestFit="1" customWidth="1"/>
    <col min="2" max="2" width="34.109375" bestFit="1" customWidth="1"/>
  </cols>
  <sheetData>
    <row r="1" spans="1:2" x14ac:dyDescent="0.3">
      <c r="A1" s="69" t="s">
        <v>337</v>
      </c>
      <c r="B1" s="69" t="s">
        <v>338</v>
      </c>
    </row>
    <row r="2" spans="1:2" x14ac:dyDescent="0.3">
      <c r="A2" t="s">
        <v>13</v>
      </c>
      <c r="B2" t="s">
        <v>339</v>
      </c>
    </row>
    <row r="3" spans="1:2" x14ac:dyDescent="0.3">
      <c r="A3" t="s">
        <v>18</v>
      </c>
      <c r="B3" t="s">
        <v>340</v>
      </c>
    </row>
    <row r="4" spans="1:2" x14ac:dyDescent="0.3">
      <c r="A4" t="s">
        <v>341</v>
      </c>
      <c r="B4" t="s">
        <v>342</v>
      </c>
    </row>
    <row r="5" spans="1:2" x14ac:dyDescent="0.3">
      <c r="A5" t="s">
        <v>115</v>
      </c>
      <c r="B5" t="s">
        <v>343</v>
      </c>
    </row>
    <row r="6" spans="1:2" x14ac:dyDescent="0.3">
      <c r="A6" t="s">
        <v>341</v>
      </c>
      <c r="B6" t="s">
        <v>342</v>
      </c>
    </row>
    <row r="8" spans="1:2" x14ac:dyDescent="0.3">
      <c r="A8" t="s">
        <v>33</v>
      </c>
      <c r="B8" t="s">
        <v>344</v>
      </c>
    </row>
    <row r="9" spans="1:2" x14ac:dyDescent="0.3">
      <c r="A9" t="s">
        <v>276</v>
      </c>
      <c r="B9" t="s">
        <v>339</v>
      </c>
    </row>
    <row r="10" spans="1:2" x14ac:dyDescent="0.3">
      <c r="A10" t="s">
        <v>41</v>
      </c>
      <c r="B10" t="s">
        <v>344</v>
      </c>
    </row>
    <row r="11" spans="1:2" x14ac:dyDescent="0.3">
      <c r="A11" t="s">
        <v>41</v>
      </c>
      <c r="B11" t="s">
        <v>344</v>
      </c>
    </row>
    <row r="12" spans="1:2" x14ac:dyDescent="0.3">
      <c r="A12" t="s">
        <v>41</v>
      </c>
      <c r="B12" t="s">
        <v>344</v>
      </c>
    </row>
    <row r="13" spans="1:2" x14ac:dyDescent="0.3">
      <c r="A13" t="s">
        <v>41</v>
      </c>
      <c r="B13" t="s">
        <v>344</v>
      </c>
    </row>
    <row r="14" spans="1:2" x14ac:dyDescent="0.3">
      <c r="A14" t="s">
        <v>48</v>
      </c>
      <c r="B14" t="s">
        <v>344</v>
      </c>
    </row>
    <row r="15" spans="1:2" x14ac:dyDescent="0.3">
      <c r="A15" t="s">
        <v>276</v>
      </c>
      <c r="B15" t="s">
        <v>339</v>
      </c>
    </row>
    <row r="16" spans="1:2" x14ac:dyDescent="0.3">
      <c r="A16" t="s">
        <v>345</v>
      </c>
      <c r="B16" t="s">
        <v>344</v>
      </c>
    </row>
    <row r="17" spans="1:2" x14ac:dyDescent="0.3">
      <c r="A17" t="s">
        <v>33</v>
      </c>
      <c r="B17" t="s">
        <v>344</v>
      </c>
    </row>
    <row r="18" spans="1:2" x14ac:dyDescent="0.3">
      <c r="A18" t="s">
        <v>33</v>
      </c>
      <c r="B18" t="s">
        <v>344</v>
      </c>
    </row>
    <row r="19" spans="1:2" x14ac:dyDescent="0.3">
      <c r="A19" t="s">
        <v>346</v>
      </c>
      <c r="B19" t="s">
        <v>344</v>
      </c>
    </row>
    <row r="20" spans="1:2" x14ac:dyDescent="0.3">
      <c r="A20" t="s">
        <v>66</v>
      </c>
      <c r="B20" t="s">
        <v>344</v>
      </c>
    </row>
    <row r="21" spans="1:2" x14ac:dyDescent="0.3">
      <c r="A21" t="s">
        <v>41</v>
      </c>
      <c r="B21" t="s">
        <v>344</v>
      </c>
    </row>
    <row r="22" spans="1:2" x14ac:dyDescent="0.3">
      <c r="A22" t="s">
        <v>66</v>
      </c>
      <c r="B22" t="s">
        <v>344</v>
      </c>
    </row>
    <row r="23" spans="1:2" x14ac:dyDescent="0.3">
      <c r="A23" t="s">
        <v>66</v>
      </c>
      <c r="B23" t="s">
        <v>344</v>
      </c>
    </row>
    <row r="24" spans="1:2" x14ac:dyDescent="0.3">
      <c r="A24" t="s">
        <v>66</v>
      </c>
      <c r="B24" t="s">
        <v>344</v>
      </c>
    </row>
    <row r="25" spans="1:2" x14ac:dyDescent="0.3">
      <c r="A25" t="s">
        <v>105</v>
      </c>
      <c r="B25" t="s">
        <v>344</v>
      </c>
    </row>
    <row r="26" spans="1:2" x14ac:dyDescent="0.3">
      <c r="A26" t="s">
        <v>276</v>
      </c>
      <c r="B26" t="s">
        <v>339</v>
      </c>
    </row>
    <row r="29" spans="1:2" x14ac:dyDescent="0.3">
      <c r="A29" t="s">
        <v>347</v>
      </c>
      <c r="B29" t="s">
        <v>348</v>
      </c>
    </row>
    <row r="30" spans="1:2" x14ac:dyDescent="0.3">
      <c r="A30" t="s">
        <v>347</v>
      </c>
      <c r="B30" t="s">
        <v>348</v>
      </c>
    </row>
    <row r="31" spans="1:2" x14ac:dyDescent="0.3">
      <c r="A31" t="s">
        <v>347</v>
      </c>
      <c r="B31" t="s">
        <v>348</v>
      </c>
    </row>
    <row r="32" spans="1:2" x14ac:dyDescent="0.3">
      <c r="A32" t="s">
        <v>347</v>
      </c>
      <c r="B32" t="s">
        <v>348</v>
      </c>
    </row>
    <row r="33" spans="1:2" x14ac:dyDescent="0.3">
      <c r="A33" t="s">
        <v>142</v>
      </c>
      <c r="B33" t="s">
        <v>349</v>
      </c>
    </row>
    <row r="34" spans="1:2" x14ac:dyDescent="0.3">
      <c r="A34" t="s">
        <v>350</v>
      </c>
      <c r="B34" t="s">
        <v>340</v>
      </c>
    </row>
    <row r="35" spans="1:2" x14ac:dyDescent="0.3">
      <c r="A35" t="s">
        <v>276</v>
      </c>
      <c r="B35" t="s">
        <v>339</v>
      </c>
    </row>
    <row r="36" spans="1:2" x14ac:dyDescent="0.3">
      <c r="A36" t="s">
        <v>308</v>
      </c>
      <c r="B36" t="s">
        <v>344</v>
      </c>
    </row>
    <row r="37" spans="1:2" x14ac:dyDescent="0.3">
      <c r="A37" t="s">
        <v>351</v>
      </c>
      <c r="B37" t="s">
        <v>339</v>
      </c>
    </row>
    <row r="38" spans="1:2" x14ac:dyDescent="0.3">
      <c r="A38" t="s">
        <v>66</v>
      </c>
      <c r="B38" t="s">
        <v>344</v>
      </c>
    </row>
    <row r="39" spans="1:2" x14ac:dyDescent="0.3">
      <c r="A39" t="s">
        <v>66</v>
      </c>
      <c r="B39" t="s">
        <v>344</v>
      </c>
    </row>
    <row r="40" spans="1:2" x14ac:dyDescent="0.3">
      <c r="A40" t="s">
        <v>276</v>
      </c>
      <c r="B40" t="s">
        <v>339</v>
      </c>
    </row>
    <row r="41" spans="1:2" x14ac:dyDescent="0.3">
      <c r="A41" t="s">
        <v>352</v>
      </c>
      <c r="B41" t="s">
        <v>344</v>
      </c>
    </row>
    <row r="42" spans="1:2" x14ac:dyDescent="0.3">
      <c r="A42" t="s">
        <v>353</v>
      </c>
      <c r="B42" t="s">
        <v>339</v>
      </c>
    </row>
    <row r="43" spans="1:2" x14ac:dyDescent="0.3">
      <c r="A43" t="s">
        <v>353</v>
      </c>
      <c r="B43" t="s">
        <v>339</v>
      </c>
    </row>
    <row r="44" spans="1:2" x14ac:dyDescent="0.3">
      <c r="A44" t="s">
        <v>86</v>
      </c>
      <c r="B44" t="s">
        <v>344</v>
      </c>
    </row>
    <row r="45" spans="1:2" x14ac:dyDescent="0.3">
      <c r="A45" t="s">
        <v>115</v>
      </c>
      <c r="B45" t="s">
        <v>343</v>
      </c>
    </row>
    <row r="46" spans="1:2" x14ac:dyDescent="0.3">
      <c r="A46" t="s">
        <v>354</v>
      </c>
      <c r="B46" t="s">
        <v>349</v>
      </c>
    </row>
    <row r="47" spans="1:2" x14ac:dyDescent="0.3">
      <c r="A47" t="s">
        <v>276</v>
      </c>
      <c r="B47" t="s">
        <v>339</v>
      </c>
    </row>
    <row r="48" spans="1:2" x14ac:dyDescent="0.3">
      <c r="A48" t="s">
        <v>66</v>
      </c>
      <c r="B48" t="s">
        <v>344</v>
      </c>
    </row>
    <row r="49" spans="1:2" x14ac:dyDescent="0.3">
      <c r="A49" t="s">
        <v>276</v>
      </c>
      <c r="B49" t="s">
        <v>339</v>
      </c>
    </row>
    <row r="50" spans="1:2" x14ac:dyDescent="0.3">
      <c r="A50" t="s">
        <v>105</v>
      </c>
      <c r="B50" t="s">
        <v>344</v>
      </c>
    </row>
    <row r="51" spans="1:2" x14ac:dyDescent="0.3">
      <c r="A51" t="s">
        <v>137</v>
      </c>
      <c r="B51" t="s">
        <v>339</v>
      </c>
    </row>
    <row r="52" spans="1:2" x14ac:dyDescent="0.3">
      <c r="A52" t="s">
        <v>345</v>
      </c>
      <c r="B52" t="s">
        <v>344</v>
      </c>
    </row>
    <row r="53" spans="1:2" x14ac:dyDescent="0.3">
      <c r="A53" t="s">
        <v>276</v>
      </c>
      <c r="B53" t="s">
        <v>339</v>
      </c>
    </row>
    <row r="54" spans="1:2" x14ac:dyDescent="0.3">
      <c r="A54" t="s">
        <v>355</v>
      </c>
      <c r="B54" t="s">
        <v>339</v>
      </c>
    </row>
    <row r="55" spans="1:2" x14ac:dyDescent="0.3">
      <c r="A55" t="s">
        <v>86</v>
      </c>
      <c r="B55" t="s">
        <v>344</v>
      </c>
    </row>
    <row r="56" spans="1:2" x14ac:dyDescent="0.3">
      <c r="A56" t="s">
        <v>127</v>
      </c>
      <c r="B56" t="s">
        <v>344</v>
      </c>
    </row>
    <row r="57" spans="1:2" x14ac:dyDescent="0.3">
      <c r="A57" t="s">
        <v>127</v>
      </c>
      <c r="B57" t="s">
        <v>344</v>
      </c>
    </row>
    <row r="58" spans="1:2" x14ac:dyDescent="0.3">
      <c r="A58" t="s">
        <v>66</v>
      </c>
      <c r="B58" t="s">
        <v>344</v>
      </c>
    </row>
    <row r="59" spans="1:2" x14ac:dyDescent="0.3">
      <c r="A59" t="s">
        <v>66</v>
      </c>
      <c r="B59" t="s">
        <v>344</v>
      </c>
    </row>
    <row r="60" spans="1:2" x14ac:dyDescent="0.3">
      <c r="A60" t="s">
        <v>133</v>
      </c>
      <c r="B60" t="s">
        <v>348</v>
      </c>
    </row>
    <row r="61" spans="1:2" x14ac:dyDescent="0.3">
      <c r="A61" t="s">
        <v>356</v>
      </c>
      <c r="B61" t="s">
        <v>357</v>
      </c>
    </row>
    <row r="62" spans="1:2" x14ac:dyDescent="0.3">
      <c r="A62" t="s">
        <v>115</v>
      </c>
      <c r="B62" t="s">
        <v>343</v>
      </c>
    </row>
    <row r="63" spans="1:2" x14ac:dyDescent="0.3">
      <c r="A63" t="s">
        <v>86</v>
      </c>
      <c r="B63" t="s">
        <v>344</v>
      </c>
    </row>
    <row r="64" spans="1:2" x14ac:dyDescent="0.3">
      <c r="A64" t="s">
        <v>66</v>
      </c>
      <c r="B64" t="s">
        <v>344</v>
      </c>
    </row>
    <row r="65" spans="1:2" x14ac:dyDescent="0.3">
      <c r="A65" t="s">
        <v>345</v>
      </c>
      <c r="B65" t="s">
        <v>344</v>
      </c>
    </row>
    <row r="66" spans="1:2" x14ac:dyDescent="0.3">
      <c r="A66" t="s">
        <v>182</v>
      </c>
      <c r="B66" t="s">
        <v>344</v>
      </c>
    </row>
    <row r="67" spans="1:2" x14ac:dyDescent="0.3">
      <c r="A67" t="s">
        <v>182</v>
      </c>
      <c r="B67" t="s">
        <v>344</v>
      </c>
    </row>
    <row r="68" spans="1:2" x14ac:dyDescent="0.3">
      <c r="A68" t="s">
        <v>184</v>
      </c>
      <c r="B68" t="s">
        <v>344</v>
      </c>
    </row>
    <row r="69" spans="1:2" x14ac:dyDescent="0.3">
      <c r="A69" t="s">
        <v>142</v>
      </c>
      <c r="B69" t="s">
        <v>349</v>
      </c>
    </row>
    <row r="70" spans="1:2" x14ac:dyDescent="0.3">
      <c r="A70" t="s">
        <v>358</v>
      </c>
      <c r="B70" t="s">
        <v>348</v>
      </c>
    </row>
    <row r="71" spans="1:2" x14ac:dyDescent="0.3">
      <c r="A71" t="s">
        <v>41</v>
      </c>
      <c r="B71" t="s">
        <v>344</v>
      </c>
    </row>
    <row r="72" spans="1:2" x14ac:dyDescent="0.3">
      <c r="A72" t="s">
        <v>41</v>
      </c>
      <c r="B72" t="s">
        <v>344</v>
      </c>
    </row>
    <row r="73" spans="1:2" x14ac:dyDescent="0.3">
      <c r="A73" t="s">
        <v>41</v>
      </c>
      <c r="B73" t="s">
        <v>344</v>
      </c>
    </row>
    <row r="74" spans="1:2" x14ac:dyDescent="0.3">
      <c r="A74" t="s">
        <v>202</v>
      </c>
      <c r="B74" t="s">
        <v>339</v>
      </c>
    </row>
    <row r="75" spans="1:2" x14ac:dyDescent="0.3">
      <c r="A75" t="s">
        <v>228</v>
      </c>
      <c r="B75" t="s">
        <v>344</v>
      </c>
    </row>
    <row r="78" spans="1:2" x14ac:dyDescent="0.3">
      <c r="A78" t="s">
        <v>358</v>
      </c>
      <c r="B78" t="s">
        <v>348</v>
      </c>
    </row>
    <row r="79" spans="1:2" x14ac:dyDescent="0.3">
      <c r="A79" t="s">
        <v>210</v>
      </c>
      <c r="B79" t="s">
        <v>349</v>
      </c>
    </row>
    <row r="80" spans="1:2" x14ac:dyDescent="0.3">
      <c r="A80" t="s">
        <v>210</v>
      </c>
      <c r="B80" t="s">
        <v>349</v>
      </c>
    </row>
    <row r="81" spans="1:2" x14ac:dyDescent="0.3">
      <c r="A81" t="s">
        <v>210</v>
      </c>
      <c r="B81" t="s">
        <v>349</v>
      </c>
    </row>
    <row r="82" spans="1:2" x14ac:dyDescent="0.3">
      <c r="A82" t="s">
        <v>210</v>
      </c>
      <c r="B82" t="s">
        <v>349</v>
      </c>
    </row>
    <row r="83" spans="1:2" x14ac:dyDescent="0.3">
      <c r="A83" t="s">
        <v>220</v>
      </c>
      <c r="B83" t="s">
        <v>344</v>
      </c>
    </row>
    <row r="84" spans="1:2" x14ac:dyDescent="0.3">
      <c r="A84" t="s">
        <v>222</v>
      </c>
      <c r="B84" t="s">
        <v>359</v>
      </c>
    </row>
    <row r="85" spans="1:2" x14ac:dyDescent="0.3">
      <c r="A85" t="s">
        <v>360</v>
      </c>
      <c r="B85" t="s">
        <v>339</v>
      </c>
    </row>
    <row r="87" spans="1:2" x14ac:dyDescent="0.3">
      <c r="A87" t="s">
        <v>66</v>
      </c>
      <c r="B87" t="s">
        <v>344</v>
      </c>
    </row>
    <row r="88" spans="1:2" x14ac:dyDescent="0.3">
      <c r="A88" t="s">
        <v>48</v>
      </c>
      <c r="B88" t="s">
        <v>344</v>
      </c>
    </row>
    <row r="89" spans="1:2" x14ac:dyDescent="0.3">
      <c r="A89" t="s">
        <v>236</v>
      </c>
      <c r="B89" t="s">
        <v>340</v>
      </c>
    </row>
    <row r="90" spans="1:2" x14ac:dyDescent="0.3">
      <c r="A90" t="s">
        <v>240</v>
      </c>
      <c r="B90" t="s">
        <v>344</v>
      </c>
    </row>
    <row r="91" spans="1:2" x14ac:dyDescent="0.3">
      <c r="A91" t="s">
        <v>202</v>
      </c>
      <c r="B91" t="s">
        <v>339</v>
      </c>
    </row>
    <row r="92" spans="1:2" x14ac:dyDescent="0.3">
      <c r="A92" t="s">
        <v>202</v>
      </c>
      <c r="B92" t="s">
        <v>339</v>
      </c>
    </row>
    <row r="93" spans="1:2" x14ac:dyDescent="0.3">
      <c r="A93" t="s">
        <v>246</v>
      </c>
      <c r="B93" t="s">
        <v>344</v>
      </c>
    </row>
    <row r="94" spans="1:2" x14ac:dyDescent="0.3">
      <c r="A94" t="s">
        <v>249</v>
      </c>
      <c r="B94" t="s">
        <v>339</v>
      </c>
    </row>
    <row r="97" spans="1:2" x14ac:dyDescent="0.3">
      <c r="A97" t="s">
        <v>250</v>
      </c>
      <c r="B97" t="s">
        <v>339</v>
      </c>
    </row>
    <row r="98" spans="1:2" x14ac:dyDescent="0.3">
      <c r="A98" t="s">
        <v>250</v>
      </c>
      <c r="B98" t="s">
        <v>339</v>
      </c>
    </row>
    <row r="99" spans="1:2" x14ac:dyDescent="0.3">
      <c r="A99" t="s">
        <v>105</v>
      </c>
      <c r="B99" t="s">
        <v>344</v>
      </c>
    </row>
    <row r="100" spans="1:2" x14ac:dyDescent="0.3">
      <c r="A100" t="s">
        <v>105</v>
      </c>
      <c r="B100" t="s">
        <v>344</v>
      </c>
    </row>
    <row r="101" spans="1:2" x14ac:dyDescent="0.3">
      <c r="A101" t="s">
        <v>262</v>
      </c>
      <c r="B101" t="s">
        <v>344</v>
      </c>
    </row>
    <row r="102" spans="1:2" x14ac:dyDescent="0.3">
      <c r="A102" t="s">
        <v>222</v>
      </c>
      <c r="B102" t="s">
        <v>359</v>
      </c>
    </row>
    <row r="103" spans="1:2" x14ac:dyDescent="0.3">
      <c r="A103" t="s">
        <v>33</v>
      </c>
      <c r="B103" t="s">
        <v>344</v>
      </c>
    </row>
    <row r="104" spans="1:2" x14ac:dyDescent="0.3">
      <c r="A104" t="s">
        <v>358</v>
      </c>
      <c r="B104" t="s">
        <v>348</v>
      </c>
    </row>
    <row r="105" spans="1:2" x14ac:dyDescent="0.3">
      <c r="A105" t="s">
        <v>105</v>
      </c>
      <c r="B105" t="s">
        <v>344</v>
      </c>
    </row>
    <row r="106" spans="1:2" x14ac:dyDescent="0.3">
      <c r="A106" t="s">
        <v>33</v>
      </c>
      <c r="B106" t="s">
        <v>344</v>
      </c>
    </row>
    <row r="107" spans="1:2" x14ac:dyDescent="0.3">
      <c r="A107" t="s">
        <v>358</v>
      </c>
      <c r="B107" t="s">
        <v>348</v>
      </c>
    </row>
    <row r="108" spans="1:2" x14ac:dyDescent="0.3">
      <c r="A108" t="s">
        <v>270</v>
      </c>
      <c r="B108" t="s">
        <v>359</v>
      </c>
    </row>
    <row r="109" spans="1:2" x14ac:dyDescent="0.3">
      <c r="A109" t="s">
        <v>276</v>
      </c>
      <c r="B109" t="s">
        <v>339</v>
      </c>
    </row>
    <row r="110" spans="1:2" x14ac:dyDescent="0.3">
      <c r="A110" t="s">
        <v>276</v>
      </c>
      <c r="B110" t="s">
        <v>339</v>
      </c>
    </row>
    <row r="111" spans="1:2" x14ac:dyDescent="0.3">
      <c r="A111" t="s">
        <v>41</v>
      </c>
      <c r="B111" t="s">
        <v>344</v>
      </c>
    </row>
    <row r="112" spans="1:2" x14ac:dyDescent="0.3">
      <c r="A112" t="s">
        <v>48</v>
      </c>
      <c r="B112" t="s">
        <v>344</v>
      </c>
    </row>
    <row r="113" spans="1:2" x14ac:dyDescent="0.3">
      <c r="A113" t="s">
        <v>361</v>
      </c>
      <c r="B113" t="s">
        <v>344</v>
      </c>
    </row>
    <row r="114" spans="1:2" x14ac:dyDescent="0.3">
      <c r="A114" t="s">
        <v>41</v>
      </c>
      <c r="B114" t="s">
        <v>344</v>
      </c>
    </row>
    <row r="115" spans="1:2" x14ac:dyDescent="0.3">
      <c r="A115" t="s">
        <v>362</v>
      </c>
      <c r="B115" t="s">
        <v>340</v>
      </c>
    </row>
    <row r="116" spans="1:2" x14ac:dyDescent="0.3">
      <c r="A116" t="s">
        <v>346</v>
      </c>
      <c r="B116" t="s">
        <v>344</v>
      </c>
    </row>
    <row r="117" spans="1:2" x14ac:dyDescent="0.3">
      <c r="A117" t="s">
        <v>297</v>
      </c>
      <c r="B117" t="s">
        <v>340</v>
      </c>
    </row>
    <row r="118" spans="1:2" x14ac:dyDescent="0.3">
      <c r="A118" t="s">
        <v>66</v>
      </c>
      <c r="B118" t="s">
        <v>344</v>
      </c>
    </row>
    <row r="119" spans="1:2" x14ac:dyDescent="0.3">
      <c r="A119" t="s">
        <v>66</v>
      </c>
      <c r="B119" t="s">
        <v>344</v>
      </c>
    </row>
    <row r="120" spans="1:2" x14ac:dyDescent="0.3">
      <c r="A120" t="s">
        <v>142</v>
      </c>
      <c r="B120" t="s">
        <v>349</v>
      </c>
    </row>
    <row r="121" spans="1:2" x14ac:dyDescent="0.3">
      <c r="A121" t="s">
        <v>308</v>
      </c>
      <c r="B121" t="s">
        <v>344</v>
      </c>
    </row>
    <row r="122" spans="1:2" x14ac:dyDescent="0.3">
      <c r="A122" t="s">
        <v>358</v>
      </c>
      <c r="B122" t="s">
        <v>348</v>
      </c>
    </row>
    <row r="123" spans="1:2" x14ac:dyDescent="0.3">
      <c r="A123" t="s">
        <v>133</v>
      </c>
      <c r="B123" t="s">
        <v>348</v>
      </c>
    </row>
    <row r="124" spans="1:2" x14ac:dyDescent="0.3">
      <c r="A124" t="s">
        <v>363</v>
      </c>
      <c r="B124" t="s">
        <v>344</v>
      </c>
    </row>
    <row r="125" spans="1:2" x14ac:dyDescent="0.3">
      <c r="A125" t="s">
        <v>66</v>
      </c>
      <c r="B125" t="s">
        <v>344</v>
      </c>
    </row>
    <row r="126" spans="1:2" x14ac:dyDescent="0.3">
      <c r="A126" t="s">
        <v>276</v>
      </c>
      <c r="B126" t="s">
        <v>339</v>
      </c>
    </row>
    <row r="127" spans="1:2" x14ac:dyDescent="0.3">
      <c r="A127" t="s">
        <v>222</v>
      </c>
      <c r="B127" t="s">
        <v>359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30AE95-F91E-478B-9E95-D8BA5BE724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الارشادات</vt:lpstr>
      <vt:lpstr>البيانات</vt:lpstr>
      <vt:lpstr>Pivot tables</vt:lpstr>
      <vt:lpstr>dashboard</vt:lpstr>
      <vt:lpstr>البيانات (2)</vt:lpstr>
      <vt:lpstr>Sheet1</vt:lpstr>
      <vt:lpstr>ء28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Amr Shaaban</cp:lastModifiedBy>
  <dcterms:created xsi:type="dcterms:W3CDTF">2015-06-05T18:17:20Z</dcterms:created>
  <dcterms:modified xsi:type="dcterms:W3CDTF">2026-09-02T17:31:32Z</dcterms:modified>
</cp:coreProperties>
</file>