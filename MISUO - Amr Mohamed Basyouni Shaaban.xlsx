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mrShaabanHPVictus\Desktop\data_analysis\projects\misuo_dashboard_dataanalysis\"/>
    </mc:Choice>
  </mc:AlternateContent>
  <xr:revisionPtr revIDLastSave="0" documentId="13_ncr:1_{17B6B0B6-EE28-4C82-BFED-FE70F32455D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الارشادات" sheetId="3" r:id="rId1"/>
    <sheet name="البيانات" sheetId="1" r:id="rId2"/>
    <sheet name="Pivot tables" sheetId="6" r:id="rId3"/>
    <sheet name="البيانات (2)" sheetId="4" r:id="rId4"/>
    <sheet name="Sheet1" sheetId="5" r:id="rId5"/>
  </sheets>
  <definedNames>
    <definedName name="_xlnm._FilterDatabase" localSheetId="1" hidden="1">البيانات!$A$1:$X$88</definedName>
    <definedName name="_xlnm._FilterDatabase" localSheetId="3" hidden="1">'البيانات (2)'!$A$1:$T$88</definedName>
  </definedNames>
  <calcPr calcId="191028"/>
  <pivotCaches>
    <pivotCache cacheId="74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2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V2" i="1" a="1"/>
  <c r="V2" i="1" s="1"/>
  <c r="V3" i="1" a="1"/>
  <c r="V3" i="1" s="1"/>
  <c r="V4" i="1" a="1"/>
  <c r="V4" i="1" s="1"/>
  <c r="V5" i="1" a="1"/>
  <c r="V5" i="1" s="1"/>
  <c r="V6" i="1" a="1"/>
  <c r="V6" i="1" s="1"/>
  <c r="V7" i="1" a="1"/>
  <c r="V7" i="1" s="1"/>
  <c r="V8" i="1" a="1"/>
  <c r="V8" i="1" s="1"/>
  <c r="V9" i="1" a="1"/>
  <c r="V9" i="1" s="1"/>
  <c r="V10" i="1" a="1"/>
  <c r="V10" i="1"/>
  <c r="V11" i="1" a="1"/>
  <c r="V11" i="1"/>
  <c r="V12" i="1" a="1"/>
  <c r="V12" i="1"/>
  <c r="V13" i="1" a="1"/>
  <c r="V13" i="1" s="1"/>
  <c r="V14" i="1" a="1"/>
  <c r="V14" i="1" s="1"/>
  <c r="V15" i="1" a="1"/>
  <c r="V15" i="1" s="1"/>
  <c r="V16" i="1" a="1"/>
  <c r="V16" i="1"/>
  <c r="V17" i="1" a="1"/>
  <c r="V17" i="1" s="1"/>
  <c r="V18" i="1" a="1"/>
  <c r="V18" i="1"/>
  <c r="V19" i="1" a="1"/>
  <c r="V19" i="1"/>
  <c r="V20" i="1" a="1"/>
  <c r="V20" i="1" s="1"/>
  <c r="V21" i="1" a="1"/>
  <c r="V21" i="1"/>
  <c r="V22" i="1" a="1"/>
  <c r="V22" i="1"/>
  <c r="V23" i="1" a="1"/>
  <c r="V23" i="1" s="1"/>
  <c r="V24" i="1" a="1"/>
  <c r="V24" i="1" s="1"/>
  <c r="V25" i="1" a="1"/>
  <c r="V25" i="1" s="1"/>
  <c r="V26" i="1" a="1"/>
  <c r="V26" i="1" s="1"/>
  <c r="V27" i="1" a="1"/>
  <c r="V27" i="1" s="1"/>
  <c r="V28" i="1" a="1"/>
  <c r="V28" i="1" s="1"/>
  <c r="V29" i="1" a="1"/>
  <c r="V29" i="1"/>
  <c r="V30" i="1" a="1"/>
  <c r="V30" i="1"/>
  <c r="V31" i="1" a="1"/>
  <c r="V31" i="1" s="1"/>
  <c r="V32" i="1" a="1"/>
  <c r="V32" i="1"/>
  <c r="V33" i="1" a="1"/>
  <c r="V33" i="1" s="1"/>
  <c r="V34" i="1" a="1"/>
  <c r="V34" i="1"/>
  <c r="V35" i="1" a="1"/>
  <c r="V35" i="1" s="1"/>
  <c r="V36" i="1" a="1"/>
  <c r="V36" i="1"/>
  <c r="V37" i="1" a="1"/>
  <c r="V37" i="1" s="1"/>
  <c r="V38" i="1" a="1"/>
  <c r="V38" i="1"/>
  <c r="V39" i="1" a="1"/>
  <c r="V39" i="1" s="1"/>
  <c r="V40" i="1" a="1"/>
  <c r="V40" i="1" s="1"/>
  <c r="V41" i="1" a="1"/>
  <c r="V41" i="1"/>
  <c r="V42" i="1" a="1"/>
  <c r="V42" i="1" s="1"/>
  <c r="V43" i="1" a="1"/>
  <c r="V43" i="1" s="1"/>
  <c r="V44" i="1" a="1"/>
  <c r="V44" i="1" s="1"/>
  <c r="V45" i="1" a="1"/>
  <c r="V45" i="1" s="1"/>
  <c r="V46" i="1" a="1"/>
  <c r="V46" i="1" s="1"/>
  <c r="V47" i="1" a="1"/>
  <c r="V47" i="1"/>
  <c r="V48" i="1" a="1"/>
  <c r="V48" i="1" s="1"/>
  <c r="V49" i="1" a="1"/>
  <c r="V49" i="1"/>
  <c r="V50" i="1" a="1"/>
  <c r="V50" i="1" s="1"/>
  <c r="V51" i="1" a="1"/>
  <c r="V51" i="1"/>
  <c r="V52" i="1" a="1"/>
  <c r="V52" i="1" s="1"/>
  <c r="V53" i="1" a="1"/>
  <c r="V53" i="1" s="1"/>
  <c r="V54" i="1" a="1"/>
  <c r="V54" i="1"/>
  <c r="V55" i="1" a="1"/>
  <c r="V55" i="1" s="1"/>
  <c r="V56" i="1" a="1"/>
  <c r="V56" i="1"/>
  <c r="V57" i="1" a="1"/>
  <c r="V57" i="1" s="1"/>
  <c r="V58" i="1" a="1"/>
  <c r="V58" i="1"/>
  <c r="V59" i="1" a="1"/>
  <c r="V59" i="1" s="1"/>
  <c r="V60" i="1" a="1"/>
  <c r="V60" i="1"/>
  <c r="V61" i="1" a="1"/>
  <c r="V61" i="1" s="1"/>
  <c r="V62" i="1" a="1"/>
  <c r="V62" i="1"/>
  <c r="V63" i="1" a="1"/>
  <c r="V63" i="1" s="1"/>
  <c r="V64" i="1" a="1"/>
  <c r="V64" i="1" s="1"/>
  <c r="V65" i="1" a="1"/>
  <c r="V65" i="1" s="1"/>
  <c r="V66" i="1" a="1"/>
  <c r="V66" i="1"/>
  <c r="V67" i="1" a="1"/>
  <c r="V67" i="1"/>
  <c r="V68" i="1" a="1"/>
  <c r="V68" i="1" s="1"/>
  <c r="V69" i="1" a="1"/>
  <c r="V69" i="1" s="1"/>
  <c r="V70" i="1" a="1"/>
  <c r="V70" i="1" s="1"/>
  <c r="V71" i="1" a="1"/>
  <c r="V71" i="1"/>
  <c r="V72" i="1" a="1"/>
  <c r="V72" i="1" s="1"/>
  <c r="V73" i="1" a="1"/>
  <c r="V73" i="1" s="1"/>
  <c r="V74" i="1" a="1"/>
  <c r="V74" i="1" s="1"/>
  <c r="V75" i="1" a="1"/>
  <c r="V75" i="1" s="1"/>
  <c r="V76" i="1" a="1"/>
  <c r="V76" i="1"/>
  <c r="V77" i="1" a="1"/>
  <c r="V77" i="1" s="1"/>
  <c r="V78" i="1" a="1"/>
  <c r="V78" i="1"/>
  <c r="V79" i="1" a="1"/>
  <c r="V79" i="1"/>
  <c r="V80" i="1" a="1"/>
  <c r="V80" i="1"/>
  <c r="V81" i="1" a="1"/>
  <c r="V81" i="1" s="1"/>
  <c r="V82" i="1" a="1"/>
  <c r="V82" i="1" s="1"/>
  <c r="V83" i="1" a="1"/>
  <c r="V83" i="1" s="1"/>
  <c r="V84" i="1" a="1"/>
  <c r="V84" i="1"/>
  <c r="V85" i="1" a="1"/>
  <c r="V85" i="1" s="1"/>
  <c r="V86" i="1" a="1"/>
  <c r="V86" i="1"/>
  <c r="V87" i="1" a="1"/>
  <c r="V87" i="1" s="1"/>
  <c r="V88" i="1" a="1"/>
  <c r="V88" i="1"/>
  <c r="V89" i="1" a="1"/>
  <c r="V89" i="1" s="1"/>
  <c r="V90" i="1" a="1"/>
  <c r="V90" i="1"/>
  <c r="V91" i="1" a="1"/>
  <c r="V91" i="1"/>
  <c r="V92" i="1" a="1"/>
  <c r="V92" i="1" s="1"/>
  <c r="V93" i="1" a="1"/>
  <c r="V93" i="1" s="1"/>
  <c r="V94" i="1" a="1"/>
  <c r="V94" i="1" s="1"/>
  <c r="V95" i="1" a="1"/>
  <c r="V95" i="1" s="1"/>
  <c r="V96" i="1" a="1"/>
  <c r="V96" i="1" s="1"/>
  <c r="V97" i="1" a="1"/>
  <c r="V97" i="1"/>
  <c r="V98" i="1" a="1"/>
  <c r="V98" i="1"/>
  <c r="V99" i="1" a="1"/>
  <c r="V99" i="1"/>
  <c r="V100" i="1" a="1"/>
  <c r="V100" i="1" s="1"/>
  <c r="V101" i="1" a="1"/>
  <c r="V101" i="1"/>
  <c r="V102" i="1" a="1"/>
  <c r="V102" i="1"/>
  <c r="V103" i="1" a="1"/>
  <c r="V103" i="1" s="1"/>
  <c r="V104" i="1" a="1"/>
  <c r="V104" i="1"/>
  <c r="V105" i="1" a="1"/>
  <c r="V105" i="1" s="1"/>
  <c r="V106" i="1" a="1"/>
  <c r="V106" i="1" s="1"/>
  <c r="V107" i="1" a="1"/>
  <c r="V107" i="1"/>
  <c r="V108" i="1" a="1"/>
  <c r="V108" i="1" s="1"/>
  <c r="V109" i="1" a="1"/>
  <c r="V109" i="1"/>
  <c r="V110" i="1" a="1"/>
  <c r="V110" i="1"/>
  <c r="V111" i="1" a="1"/>
  <c r="V111" i="1"/>
  <c r="V112" i="1" a="1"/>
  <c r="V112" i="1" s="1"/>
  <c r="V113" i="1" a="1"/>
  <c r="V113" i="1" s="1"/>
  <c r="V114" i="1" a="1"/>
  <c r="V114" i="1" s="1"/>
  <c r="V115" i="1" a="1"/>
  <c r="V115" i="1" s="1"/>
  <c r="V116" i="1" a="1"/>
  <c r="V116" i="1"/>
  <c r="V117" i="1" a="1"/>
  <c r="V117" i="1" s="1"/>
  <c r="V118" i="1" a="1"/>
  <c r="V118" i="1"/>
  <c r="V119" i="1" a="1"/>
  <c r="V119" i="1" s="1"/>
  <c r="V120" i="1" a="1"/>
  <c r="V120" i="1" s="1"/>
  <c r="V121" i="1" a="1"/>
  <c r="V121" i="1"/>
  <c r="V122" i="1" a="1"/>
  <c r="V122" i="1"/>
  <c r="V123" i="1" a="1"/>
  <c r="V123" i="1" s="1"/>
  <c r="V124" i="1" a="1"/>
  <c r="V124" i="1" s="1"/>
  <c r="V125" i="1" a="1"/>
  <c r="V125" i="1" s="1"/>
  <c r="V126" i="1" a="1"/>
  <c r="V126" i="1" s="1"/>
  <c r="V127" i="1" a="1"/>
  <c r="V127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L12" i="6"/>
  <c r="G12" i="6"/>
  <c r="D18" i="6"/>
  <c r="D1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6E844E3-4B89-44EE-A1DE-BB4F265A0641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<sst xmlns="http://schemas.openxmlformats.org/spreadsheetml/2006/main" count="3255" uniqueCount="440">
  <si>
    <t>أسم العميل</t>
  </si>
  <si>
    <t>العنوان</t>
  </si>
  <si>
    <t>المنتج</t>
  </si>
  <si>
    <t>تاريخ التسليم</t>
  </si>
  <si>
    <t>المسئول عن التسليم</t>
  </si>
  <si>
    <t>م</t>
  </si>
  <si>
    <t xml:space="preserve">منصة البيع </t>
  </si>
  <si>
    <t>هومزمارت</t>
  </si>
  <si>
    <t xml:space="preserve">سعر البيع </t>
  </si>
  <si>
    <t xml:space="preserve">طريقه الدفع </t>
  </si>
  <si>
    <t>ميعاد التسليم</t>
  </si>
  <si>
    <t>ميعاد الطلب</t>
  </si>
  <si>
    <t xml:space="preserve">خالد عبد القوى </t>
  </si>
  <si>
    <t>العجوزه - الجيزه</t>
  </si>
  <si>
    <t xml:space="preserve">سرير منطبق الحديد ابيض والقماش ابيض </t>
  </si>
  <si>
    <t>مسبق الدفع</t>
  </si>
  <si>
    <t>27\7\2024</t>
  </si>
  <si>
    <t>محمود</t>
  </si>
  <si>
    <t>سموحه - اسكندريه</t>
  </si>
  <si>
    <t xml:space="preserve">سرير منطبق اسود والقماش اسود </t>
  </si>
  <si>
    <t>28\7\2024</t>
  </si>
  <si>
    <t>سعيد</t>
  </si>
  <si>
    <t xml:space="preserve">سيدى عبد الرحمن - الساحل الشمالى </t>
  </si>
  <si>
    <t xml:space="preserve">سرير كيفينج مقاس 90 لون ازرق </t>
  </si>
  <si>
    <t>ساندرا</t>
  </si>
  <si>
    <t xml:space="preserve">الغردقه </t>
  </si>
  <si>
    <t xml:space="preserve">ترابيزه قهوه متحركه </t>
  </si>
  <si>
    <t xml:space="preserve">تم التسليم عن طريق شركه شحن </t>
  </si>
  <si>
    <t xml:space="preserve">زينا </t>
  </si>
  <si>
    <t xml:space="preserve">سرير نوفال متر رمادى </t>
  </si>
  <si>
    <t xml:space="preserve">شيك هومز </t>
  </si>
  <si>
    <t xml:space="preserve">كنبه سرير رمادى </t>
  </si>
  <si>
    <t xml:space="preserve">احمد </t>
  </si>
  <si>
    <t>التجمع الخامس</t>
  </si>
  <si>
    <t>فيس بوك</t>
  </si>
  <si>
    <t xml:space="preserve">تم تسليم العميل عن طريق شركه شحن </t>
  </si>
  <si>
    <t xml:space="preserve">فشل التسليم </t>
  </si>
  <si>
    <t>yilmaz</t>
  </si>
  <si>
    <t xml:space="preserve">٦ اكتوبر الجيزه </t>
  </si>
  <si>
    <t xml:space="preserve">سرير فردى ابيض </t>
  </si>
  <si>
    <t xml:space="preserve">تاكى </t>
  </si>
  <si>
    <t>العباسيه</t>
  </si>
  <si>
    <t>تاكى</t>
  </si>
  <si>
    <t xml:space="preserve">ركنه </t>
  </si>
  <si>
    <t>٢ كنبه سحاره بمخدع</t>
  </si>
  <si>
    <t xml:space="preserve">العباسيه </t>
  </si>
  <si>
    <t xml:space="preserve">٢ كنبه سحاره بدون مخدع </t>
  </si>
  <si>
    <t xml:space="preserve">على رشوان </t>
  </si>
  <si>
    <t>مصر الجديده</t>
  </si>
  <si>
    <t>سرير نوفال ابيض مقاس ٨٠</t>
  </si>
  <si>
    <t xml:space="preserve">سرير كينج ابيض </t>
  </si>
  <si>
    <t>شيك هومز</t>
  </si>
  <si>
    <t xml:space="preserve">سرير كينج اسود </t>
  </si>
  <si>
    <t xml:space="preserve">فيصل نعيم </t>
  </si>
  <si>
    <t xml:space="preserve">التجمع الخامس </t>
  </si>
  <si>
    <t xml:space="preserve">اوسكار ريتن </t>
  </si>
  <si>
    <t xml:space="preserve">٢ سرير كيفنج ١٢٠ اسود </t>
  </si>
  <si>
    <t>ellho elkafy</t>
  </si>
  <si>
    <t xml:space="preserve">مدينه نصر </t>
  </si>
  <si>
    <t xml:space="preserve">سرير كينج ابيض مقاس ٨٠ التصميم الجديد </t>
  </si>
  <si>
    <t xml:space="preserve">لينا </t>
  </si>
  <si>
    <t xml:space="preserve">المقطم </t>
  </si>
  <si>
    <t xml:space="preserve">ترابيزه قهوه علويه جديده </t>
  </si>
  <si>
    <t xml:space="preserve">٢ فوتيه فنيسيا </t>
  </si>
  <si>
    <t xml:space="preserve">احمد فخرى </t>
  </si>
  <si>
    <t>سرير فردى خشب موسكى الحديد ابيض مقاس ٨٠</t>
  </si>
  <si>
    <t>القاهره الجديده</t>
  </si>
  <si>
    <t>٤سرير فردى خشب موسكى الحديد ابيض مقاس ٨٠</t>
  </si>
  <si>
    <t>حسن حازم</t>
  </si>
  <si>
    <t>سرير اسبانى ابيض ١٢٠</t>
  </si>
  <si>
    <t xml:space="preserve">رنا </t>
  </si>
  <si>
    <t xml:space="preserve">القطاميه </t>
  </si>
  <si>
    <t xml:space="preserve">على السيد </t>
  </si>
  <si>
    <t xml:space="preserve">الشروق القاهره </t>
  </si>
  <si>
    <t xml:space="preserve">هشام بسيونى </t>
  </si>
  <si>
    <t xml:space="preserve">حدايق الاهرام </t>
  </si>
  <si>
    <t xml:space="preserve">سرير نوفال  ٩٠ اسود </t>
  </si>
  <si>
    <t xml:space="preserve">            ٢ سرير كيفنج ١٠٠ اسود </t>
  </si>
  <si>
    <t>عبير نور الدين</t>
  </si>
  <si>
    <t xml:space="preserve">١٨ شارع البحيري بولاق الدكرور الجيزه </t>
  </si>
  <si>
    <t xml:space="preserve">سرير ٣ ادورا اسود مقاس ١٠٠ </t>
  </si>
  <si>
    <t>اوسكار راتن</t>
  </si>
  <si>
    <t xml:space="preserve">مخزن اوسكار في القناطر </t>
  </si>
  <si>
    <t>حساب شركه</t>
  </si>
  <si>
    <t xml:space="preserve">٢ سرير ارفيل ١٢٠ اسود </t>
  </si>
  <si>
    <t>٢ سريرفورجينا خشب موسكى ابيض مقاس ١٢٠</t>
  </si>
  <si>
    <t>الشروق</t>
  </si>
  <si>
    <t xml:space="preserve">ساره وجيه </t>
  </si>
  <si>
    <t xml:space="preserve">سرير كيفنج دورين مقاس ٨٠ ابيض </t>
  </si>
  <si>
    <t xml:space="preserve">سرير ٣ ادوار ابيض مقاس ٨٠ ابيض </t>
  </si>
  <si>
    <t xml:space="preserve">مها </t>
  </si>
  <si>
    <t xml:space="preserve">لافيستا العين السخنه </t>
  </si>
  <si>
    <t>سرير استيل ازرق مقاس ١٤٠</t>
  </si>
  <si>
    <t xml:space="preserve">اسراء ابو العنين </t>
  </si>
  <si>
    <t>سرير اسبانى اسود مقاس ١٢٠</t>
  </si>
  <si>
    <t xml:space="preserve">بسام الشربينى </t>
  </si>
  <si>
    <t xml:space="preserve">سرير كينج ١٢٠ بنفسجى </t>
  </si>
  <si>
    <t>وائل صادق</t>
  </si>
  <si>
    <t xml:space="preserve">سرير كوين مقاس ١٤٠ دهبي ورمادى </t>
  </si>
  <si>
    <t xml:space="preserve">هبه عبد الفتاح </t>
  </si>
  <si>
    <t xml:space="preserve">القاهره الجديده </t>
  </si>
  <si>
    <t xml:space="preserve">كنبه سرير ٤ حركه </t>
  </si>
  <si>
    <t xml:space="preserve">حاتم العيسوي </t>
  </si>
  <si>
    <t>سرير منطبق اسود حديد وقماش</t>
  </si>
  <si>
    <t>صفاء</t>
  </si>
  <si>
    <t>المعادى</t>
  </si>
  <si>
    <t xml:space="preserve">اسراء ابراهيم </t>
  </si>
  <si>
    <t xml:space="preserve">ملغى </t>
  </si>
  <si>
    <t xml:space="preserve">طارق كمال </t>
  </si>
  <si>
    <t xml:space="preserve">سرير ٣ ادوار اسود مقاس ٩٠ </t>
  </si>
  <si>
    <t xml:space="preserve">مصطفي غنيم </t>
  </si>
  <si>
    <t xml:space="preserve">اسيوط </t>
  </si>
  <si>
    <t xml:space="preserve">سرير كيفنج دورين مقاس ١٢٠ رمادى </t>
  </si>
  <si>
    <t xml:space="preserve">مسبق الدفع </t>
  </si>
  <si>
    <t>حسام عبدون</t>
  </si>
  <si>
    <t>الغردقه</t>
  </si>
  <si>
    <t xml:space="preserve">اياد </t>
  </si>
  <si>
    <t>ميار خورشد</t>
  </si>
  <si>
    <t xml:space="preserve">سرير منطبق اسود حديد ومعدن </t>
  </si>
  <si>
    <t xml:space="preserve">عبد الله سيد </t>
  </si>
  <si>
    <t xml:space="preserve">الشيخ زايد ٦ اكتوبر </t>
  </si>
  <si>
    <t xml:space="preserve">سرير اسبانى  ١٤٠ اسود وبيج </t>
  </si>
  <si>
    <t xml:space="preserve">كينج سونا </t>
  </si>
  <si>
    <t xml:space="preserve">تربيزه قهوه مرتفعه برف سحاب </t>
  </si>
  <si>
    <t xml:space="preserve">رامى </t>
  </si>
  <si>
    <t xml:space="preserve">سرير نوفال ١٠٠ رمادى </t>
  </si>
  <si>
    <t xml:space="preserve">احمد خالد </t>
  </si>
  <si>
    <t>الرحاب</t>
  </si>
  <si>
    <t xml:space="preserve"> ٢. سرير فورجينا ابيض مقاس ١٢٠</t>
  </si>
  <si>
    <t>ساره</t>
  </si>
  <si>
    <t xml:space="preserve">   ٢. سرير اسبانى ابيض ١٢٠</t>
  </si>
  <si>
    <t>رحاب</t>
  </si>
  <si>
    <t xml:space="preserve">احمد ايمن </t>
  </si>
  <si>
    <t>العبور</t>
  </si>
  <si>
    <t xml:space="preserve">فؤاد المنسي </t>
  </si>
  <si>
    <t xml:space="preserve">سرير نوفال مقاس ٨٠ ابيض </t>
  </si>
  <si>
    <t xml:space="preserve">ديفد بهجت </t>
  </si>
  <si>
    <t>فيصل الجيزه</t>
  </si>
  <si>
    <t>تربيزه قهوه ٢ رافع</t>
  </si>
  <si>
    <t xml:space="preserve">حسن مغرب </t>
  </si>
  <si>
    <t xml:space="preserve">سرير كيفنج ١٢٠ رمادى </t>
  </si>
  <si>
    <t>صفاء الحكيم</t>
  </si>
  <si>
    <t>العين السخنه</t>
  </si>
  <si>
    <t>سرير منطببق اسود وقماش اسود</t>
  </si>
  <si>
    <t>14/9/224</t>
  </si>
  <si>
    <t>يوسف شناوى</t>
  </si>
  <si>
    <t xml:space="preserve">الابراهيميه . الإسكندرية </t>
  </si>
  <si>
    <t xml:space="preserve">ترابيزه قهوه علويه برف سحاب </t>
  </si>
  <si>
    <t>سرير</t>
  </si>
  <si>
    <t>منطبق</t>
  </si>
  <si>
    <t>نوفال</t>
  </si>
  <si>
    <t>فردى</t>
  </si>
  <si>
    <t>كينج</t>
  </si>
  <si>
    <t>كيفنج</t>
  </si>
  <si>
    <t>اسبانى</t>
  </si>
  <si>
    <t>تربيزه</t>
  </si>
  <si>
    <t>ركنة</t>
  </si>
  <si>
    <t>سحارة</t>
  </si>
  <si>
    <t>ركنة بسرير</t>
  </si>
  <si>
    <t>كنبة</t>
  </si>
  <si>
    <t>كرسى</t>
  </si>
  <si>
    <t>فنسيا</t>
  </si>
  <si>
    <t>4*1</t>
  </si>
  <si>
    <t>دورين</t>
  </si>
  <si>
    <t xml:space="preserve">كنبة </t>
  </si>
  <si>
    <t>ابيض</t>
  </si>
  <si>
    <t>اسود</t>
  </si>
  <si>
    <t>ارفيل</t>
  </si>
  <si>
    <t>ازرق</t>
  </si>
  <si>
    <t>ثلاثه ادوار</t>
  </si>
  <si>
    <t>رمادى</t>
  </si>
  <si>
    <t>بنفسجى</t>
  </si>
  <si>
    <t>الاسم</t>
  </si>
  <si>
    <t>المقاس</t>
  </si>
  <si>
    <t>دهبي</t>
  </si>
  <si>
    <t>فورجينا</t>
  </si>
  <si>
    <t>كورين</t>
  </si>
  <si>
    <t>اللون المعدن</t>
  </si>
  <si>
    <t>لون القماش</t>
  </si>
  <si>
    <t>رقم العملية</t>
  </si>
  <si>
    <t>رقم الطلب</t>
  </si>
  <si>
    <t>mohannad</t>
  </si>
  <si>
    <t>EL-Maadi</t>
  </si>
  <si>
    <t>Mohamed Ayman</t>
  </si>
  <si>
    <t>Madinet Badr</t>
  </si>
  <si>
    <t>2 ميكانزم</t>
  </si>
  <si>
    <t>بمكتبة</t>
  </si>
  <si>
    <t>رف سحاب</t>
  </si>
  <si>
    <t>الحالة</t>
  </si>
  <si>
    <t>نم التسليم</t>
  </si>
  <si>
    <t>فشل التسليم</t>
  </si>
  <si>
    <t>لغى</t>
  </si>
  <si>
    <t>نم التصنيع</t>
  </si>
  <si>
    <t>15/9/2024</t>
  </si>
  <si>
    <t>اسامه</t>
  </si>
  <si>
    <t>16/9/2024</t>
  </si>
  <si>
    <t>تم التسليم</t>
  </si>
  <si>
    <t xml:space="preserve">تم التسليم محمود على </t>
  </si>
  <si>
    <t xml:space="preserve">المخزن ابو الغيط </t>
  </si>
  <si>
    <t>اسود وبنى</t>
  </si>
  <si>
    <t>ولاء بدوى</t>
  </si>
  <si>
    <t>عبد الرحمن يسري</t>
  </si>
  <si>
    <t>اكتوبر الجيزه</t>
  </si>
  <si>
    <t>كنبه</t>
  </si>
  <si>
    <t>4×1</t>
  </si>
  <si>
    <t xml:space="preserve">اسود </t>
  </si>
  <si>
    <t>مرتجع</t>
  </si>
  <si>
    <t>31/9/2024</t>
  </si>
  <si>
    <t>الحج محمد السويس</t>
  </si>
  <si>
    <t xml:space="preserve">السويس </t>
  </si>
  <si>
    <t>السويس</t>
  </si>
  <si>
    <t>فانتاستك</t>
  </si>
  <si>
    <t>ملون</t>
  </si>
  <si>
    <t>فنيسيا</t>
  </si>
  <si>
    <t>رصاصي مشجر</t>
  </si>
  <si>
    <t>اسزد</t>
  </si>
  <si>
    <t>بيج</t>
  </si>
  <si>
    <t>شيزلونج</t>
  </si>
  <si>
    <t xml:space="preserve">نبيتى </t>
  </si>
  <si>
    <t>عمرو الأسود</t>
  </si>
  <si>
    <t>الزمالك</t>
  </si>
  <si>
    <t>لغي</t>
  </si>
  <si>
    <t>مخزن شيك هومز</t>
  </si>
  <si>
    <t xml:space="preserve">كنبه </t>
  </si>
  <si>
    <t xml:space="preserve">بترولى </t>
  </si>
  <si>
    <t xml:space="preserve">تم التسليم بمعرفه الحج سيد </t>
  </si>
  <si>
    <t xml:space="preserve">تم التسليم </t>
  </si>
  <si>
    <t xml:space="preserve">أكتوبر </t>
  </si>
  <si>
    <t>التجمع</t>
  </si>
  <si>
    <t>keira</t>
  </si>
  <si>
    <t xml:space="preserve">نوفال </t>
  </si>
  <si>
    <t>١٤٠/١٠٠</t>
  </si>
  <si>
    <t>بينك</t>
  </si>
  <si>
    <t>tarek</t>
  </si>
  <si>
    <t>لاغى</t>
  </si>
  <si>
    <t>reem</t>
  </si>
  <si>
    <t>البطاش اسكندريه</t>
  </si>
  <si>
    <t>١٠٠/١٤٠</t>
  </si>
  <si>
    <t>هشام سامى</t>
  </si>
  <si>
    <t>s03163</t>
  </si>
  <si>
    <t>41 كومبوند جولدن جستس الدور 4 شقه 4</t>
  </si>
  <si>
    <t xml:space="preserve">منزلى </t>
  </si>
  <si>
    <t>بلحه</t>
  </si>
  <si>
    <t>خشب بنى فاتح</t>
  </si>
  <si>
    <t>فانتستيك</t>
  </si>
  <si>
    <t>الوان</t>
  </si>
  <si>
    <t>المعرض مدينه نصر</t>
  </si>
  <si>
    <t xml:space="preserve">اقرب وقت </t>
  </si>
  <si>
    <t>فاطمه محمد</t>
  </si>
  <si>
    <t>أكتوبر الجيزه</t>
  </si>
  <si>
    <t>الشيخ زايد اكتوبر</t>
  </si>
  <si>
    <t>بولا هومزمارت</t>
  </si>
  <si>
    <t>مسيو هومزمارت</t>
  </si>
  <si>
    <t>4800+300شحن</t>
  </si>
  <si>
    <t>5000+300شحن</t>
  </si>
  <si>
    <t xml:space="preserve">محمد شكرى </t>
  </si>
  <si>
    <t>ارينا</t>
  </si>
  <si>
    <t>بترولى</t>
  </si>
  <si>
    <t>مسبق</t>
  </si>
  <si>
    <t>3/12/204</t>
  </si>
  <si>
    <t>so3290</t>
  </si>
  <si>
    <t>منزلى</t>
  </si>
  <si>
    <t>مدينتى</t>
  </si>
  <si>
    <t>s_6725</t>
  </si>
  <si>
    <t>حماده</t>
  </si>
  <si>
    <t>صفاء عبد الباقي</t>
  </si>
  <si>
    <t xml:space="preserve">كينج </t>
  </si>
  <si>
    <t>s_6806</t>
  </si>
  <si>
    <t xml:space="preserve">سرير </t>
  </si>
  <si>
    <t>s-6626</t>
  </si>
  <si>
    <t>المخزن</t>
  </si>
  <si>
    <t xml:space="preserve">دورين </t>
  </si>
  <si>
    <t xml:space="preserve">مرفوض </t>
  </si>
  <si>
    <t xml:space="preserve">رندا العامرى </t>
  </si>
  <si>
    <t xml:space="preserve">كيمت </t>
  </si>
  <si>
    <t xml:space="preserve">كيفنج </t>
  </si>
  <si>
    <t>٦ اكتوبر الجيزه</t>
  </si>
  <si>
    <t xml:space="preserve">فردى </t>
  </si>
  <si>
    <t>امريكى</t>
  </si>
  <si>
    <t>محمد حمدى</t>
  </si>
  <si>
    <t>فيسبوك</t>
  </si>
  <si>
    <t xml:space="preserve">كوين </t>
  </si>
  <si>
    <t>5700+300شحن</t>
  </si>
  <si>
    <t xml:space="preserve">بافلى هانى </t>
  </si>
  <si>
    <t xml:space="preserve">شبرا </t>
  </si>
  <si>
    <t xml:space="preserve">اسبانى </t>
  </si>
  <si>
    <t>t1</t>
  </si>
  <si>
    <t xml:space="preserve">تم التسليم م محمد </t>
  </si>
  <si>
    <t>رنا ميلاد</t>
  </si>
  <si>
    <t xml:space="preserve">جليم الإسكندرية </t>
  </si>
  <si>
    <t>ترابيزه</t>
  </si>
  <si>
    <t>مكتبه</t>
  </si>
  <si>
    <t>محمد ناجى</t>
  </si>
  <si>
    <t xml:space="preserve">دوران </t>
  </si>
  <si>
    <t>ميكانزم</t>
  </si>
  <si>
    <t>ابيض في بنى غامق</t>
  </si>
  <si>
    <t>احمد عبد الستار</t>
  </si>
  <si>
    <t>المندره اسكندريه</t>
  </si>
  <si>
    <t xml:space="preserve">نور </t>
  </si>
  <si>
    <t xml:space="preserve">ترابيزه </t>
  </si>
  <si>
    <t>بنى غامق</t>
  </si>
  <si>
    <t>نور</t>
  </si>
  <si>
    <t xml:space="preserve">هومزمارت </t>
  </si>
  <si>
    <t xml:space="preserve">بنى غامق </t>
  </si>
  <si>
    <t>تامر</t>
  </si>
  <si>
    <t>٢ ميكانزم</t>
  </si>
  <si>
    <t xml:space="preserve">بيج </t>
  </si>
  <si>
    <t>هناء اسامه</t>
  </si>
  <si>
    <t>القطاميه</t>
  </si>
  <si>
    <t>s_7152</t>
  </si>
  <si>
    <t xml:space="preserve">محمد عادل </t>
  </si>
  <si>
    <t>مريم عنان</t>
  </si>
  <si>
    <t xml:space="preserve">اب تاون كايرو التجمع </t>
  </si>
  <si>
    <t xml:space="preserve">هبه عطيه </t>
  </si>
  <si>
    <t>دوران</t>
  </si>
  <si>
    <t>حمدى ذكرى</t>
  </si>
  <si>
    <t>روك ١٠</t>
  </si>
  <si>
    <t>العميل رفض الاستلام</t>
  </si>
  <si>
    <t xml:space="preserve">معتمدا علي الهدف الأساسي المتمثل في " تحديد المنتجات الأعلى والأقل مبيعًا " </t>
  </si>
  <si>
    <t>إجمالي المبيعات (Total Sales)</t>
  </si>
  <si>
    <t xml:space="preserve">عدد الطلبات (Total Orders) </t>
  </si>
  <si>
    <t>متوسط سعر البيع (Average Selling Price)</t>
  </si>
  <si>
    <t>عدد المنتجات المباعة حسب المنصة (Sales by Platform)</t>
  </si>
  <si>
    <t>نسبة الطلبات المسلمة في الموعد (On-time Delivery Rate).</t>
  </si>
  <si>
    <t>مستندا الي  KPIS الأساسية :</t>
  </si>
  <si>
    <t xml:space="preserve"> قم بتصميم Dashboard</t>
  </si>
  <si>
    <t xml:space="preserve">المنتج الأكثر مبيعا   Best  Seller </t>
  </si>
  <si>
    <t xml:space="preserve">اللون الأكثر مبيعا Best Color sold </t>
  </si>
  <si>
    <t>المدينة الأكثر مبيعا   (Orders by Area).</t>
  </si>
  <si>
    <t xml:space="preserve">عدد الأفراد والشركات التي تتعامل معها شركة مسيو </t>
  </si>
  <si>
    <t>نسبة الطلبات  الملغاة التي لم تتسلم (Delivery Status Breakdown)</t>
  </si>
  <si>
    <t>Column1</t>
  </si>
  <si>
    <t>Column2</t>
  </si>
  <si>
    <t>أبيض</t>
  </si>
  <si>
    <t>أسود</t>
  </si>
  <si>
    <t>Column3</t>
  </si>
  <si>
    <t>المدينة</t>
  </si>
  <si>
    <t>Original Location / Place</t>
  </si>
  <si>
    <t>Governorate / City</t>
  </si>
  <si>
    <t>الجيزة (Giza)</t>
  </si>
  <si>
    <t>الإسكندرية (Alexandria)</t>
  </si>
  <si>
    <t>سيدى عبد الرحمن - الساحل الشمالى</t>
  </si>
  <si>
    <t>مطروح (Matrouh)</t>
  </si>
  <si>
    <t>البحر الأحمر (Red Sea)</t>
  </si>
  <si>
    <t>القاهرة (Cairo)</t>
  </si>
  <si>
    <t>المقطم</t>
  </si>
  <si>
    <t>مدينه نصر</t>
  </si>
  <si>
    <t>مخزن اوسكار في القناطر</t>
  </si>
  <si>
    <t>القليوبية (Qalyubia)</t>
  </si>
  <si>
    <t>السويس (Suez)</t>
  </si>
  <si>
    <t>الابراهيميه . الإسكندرية</t>
  </si>
  <si>
    <t>١٨ شارع البحيري بولاق الدكرور الجيزه</t>
  </si>
  <si>
    <t>الشروق القاهره</t>
  </si>
  <si>
    <t>حدايق الاهرام</t>
  </si>
  <si>
    <t>لافيستا العين السخنه</t>
  </si>
  <si>
    <t>الشيخ زايد ٦ اكتوبر</t>
  </si>
  <si>
    <t>اسيوط</t>
  </si>
  <si>
    <t>أسيوط (Asyut)</t>
  </si>
  <si>
    <t>المخزن ابو الغيط</t>
  </si>
  <si>
    <t>مستودع / مخزن مركزى (Central Warehouse)</t>
  </si>
  <si>
    <t>أكتوبر</t>
  </si>
  <si>
    <t>شبرا</t>
  </si>
  <si>
    <t>جليم الإسكندرية</t>
  </si>
  <si>
    <t>اب تاون كايرو التجمع</t>
  </si>
  <si>
    <t>ü</t>
  </si>
  <si>
    <t>عدد أيام التسليم الأصلى</t>
  </si>
  <si>
    <t>عدد أيام التسليم الفعلى</t>
  </si>
  <si>
    <t>14/9/2024</t>
  </si>
  <si>
    <t>Row Labels</t>
  </si>
  <si>
    <t>Grand Total</t>
  </si>
  <si>
    <t>Count of Column1</t>
  </si>
  <si>
    <t>المنتجات الأعلى والأقل مبيعا</t>
  </si>
  <si>
    <t>الأعلى مبيعا</t>
  </si>
  <si>
    <t>السرير</t>
  </si>
  <si>
    <t>الأقل مبيعا</t>
  </si>
  <si>
    <t>الكرسى، كنبة، شيزلونج</t>
  </si>
  <si>
    <t xml:space="preserve">Sum of سعر البيع </t>
  </si>
  <si>
    <t>إجمالي المبيعات</t>
  </si>
  <si>
    <t>Count of أسم العميل</t>
  </si>
  <si>
    <t>عدد الطلبات</t>
  </si>
  <si>
    <t>خالد عبد القوى</t>
  </si>
  <si>
    <t>زينا</t>
  </si>
  <si>
    <t>احمد</t>
  </si>
  <si>
    <t>على رشوان</t>
  </si>
  <si>
    <t>احمد فخرى</t>
  </si>
  <si>
    <t>لينا</t>
  </si>
  <si>
    <t>فيصل نعيم</t>
  </si>
  <si>
    <t>حاتم العيسوي</t>
  </si>
  <si>
    <t>رنا</t>
  </si>
  <si>
    <t>اسراء ابو العنين</t>
  </si>
  <si>
    <t>حسن مغرب</t>
  </si>
  <si>
    <t>على السيد</t>
  </si>
  <si>
    <t>هشام بسيونى</t>
  </si>
  <si>
    <t>ساره وجيه</t>
  </si>
  <si>
    <t>مها</t>
  </si>
  <si>
    <t>بسام الشربينى</t>
  </si>
  <si>
    <t>هبه عبد الفتاح</t>
  </si>
  <si>
    <t>اسراء ابراهيم</t>
  </si>
  <si>
    <t>طارق كمال</t>
  </si>
  <si>
    <t>ديفد بهجت</t>
  </si>
  <si>
    <t>اياد</t>
  </si>
  <si>
    <t>عبد الله سيد</t>
  </si>
  <si>
    <t>كينج سونا</t>
  </si>
  <si>
    <t>احمد خالد</t>
  </si>
  <si>
    <t>احمد ايمن</t>
  </si>
  <si>
    <t>مصطفي غنيم</t>
  </si>
  <si>
    <t>رامى</t>
  </si>
  <si>
    <t>فؤاد المنسي</t>
  </si>
  <si>
    <t>محمد شكرى</t>
  </si>
  <si>
    <t>رندا العامرى</t>
  </si>
  <si>
    <t>بافلى هانى</t>
  </si>
  <si>
    <t>محمد عادل</t>
  </si>
  <si>
    <t>هبه عطيه</t>
  </si>
  <si>
    <t xml:space="preserve">Average of سعر البيع </t>
  </si>
  <si>
    <t>متوسط سعر البيع</t>
  </si>
  <si>
    <t>اوسكار ريتن</t>
  </si>
  <si>
    <t>كيمت</t>
  </si>
  <si>
    <t>عدد المنتجات المباعة حسب المنصة</t>
  </si>
  <si>
    <t>أسود وبنى</t>
  </si>
  <si>
    <t>أبيض في بنى غامق</t>
  </si>
  <si>
    <t/>
  </si>
  <si>
    <t>نبيتى</t>
  </si>
  <si>
    <t>Column4</t>
  </si>
  <si>
    <t>لون المعدن2</t>
  </si>
  <si>
    <t>لون المعدن الأكثر مبيعا</t>
  </si>
  <si>
    <t>لون القماش الأكثر مبيعا</t>
  </si>
  <si>
    <t>Column5</t>
  </si>
  <si>
    <t>تم التسليم بعد الموعد</t>
  </si>
  <si>
    <t>لا يوجد تاريخ</t>
  </si>
  <si>
    <t>نسبة الطلبات التي تم تسليمها في الموعد</t>
  </si>
  <si>
    <t>0</t>
  </si>
  <si>
    <t>تم التسليم قبل الموعد</t>
  </si>
  <si>
    <t>نسبة الطلبات الملغية</t>
  </si>
  <si>
    <t>الحالة1</t>
  </si>
  <si>
    <t>مرفوض</t>
  </si>
  <si>
    <t>المدينة الأكثر مبيعا</t>
  </si>
  <si>
    <t>أفراد</t>
  </si>
  <si>
    <t>شركات</t>
  </si>
  <si>
    <t>Count of Column3</t>
  </si>
  <si>
    <t>عدد الأفراد والشركات التي تتعامل معها ماسيو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</si>
</sst>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2000000]dd/mm/yyyy"/>
    <numFmt numFmtId="165" formatCode="[$-2000401]0"/>
    <numFmt numFmtId="166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theme="4" tint="-0.249977111117893"/>
      <name val="Times New Roman"/>
      <family val="1"/>
    </font>
    <font>
      <b/>
      <sz val="20"/>
      <color rgb="FFFF0000"/>
      <name val="Times New Roman"/>
      <family val="1"/>
    </font>
    <font>
      <b/>
      <sz val="14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sz val="11"/>
      <name val="Arial"/>
      <family val="2"/>
    </font>
    <font>
      <b/>
      <sz val="12"/>
      <color theme="1"/>
      <name val="Wingdings"/>
      <charset val="2"/>
    </font>
    <font>
      <sz val="8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1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9" fillId="0" borderId="0" xfId="0" applyFont="1" applyAlignment="1">
      <alignment horizontal="right" indent="2"/>
    </xf>
    <xf numFmtId="0" fontId="2" fillId="6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2" fontId="2" fillId="6" borderId="3" xfId="0" applyNumberFormat="1" applyFont="1" applyFill="1" applyBorder="1" applyAlignment="1">
      <alignment horizontal="center" vertical="center"/>
    </xf>
    <xf numFmtId="164" fontId="2" fillId="6" borderId="3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4" fontId="2" fillId="6" borderId="3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165" fontId="2" fillId="6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4" fillId="6" borderId="0" xfId="0" applyFont="1" applyFill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2" fontId="12" fillId="2" borderId="3" xfId="0" applyNumberFormat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15" fillId="6" borderId="1" xfId="0" applyFont="1" applyFill="1" applyBorder="1" applyAlignment="1">
      <alignment horizontal="center"/>
    </xf>
    <xf numFmtId="0" fontId="15" fillId="3" borderId="0" xfId="0" applyFont="1" applyFill="1" applyAlignment="1">
      <alignment horizontal="center" wrapText="1"/>
    </xf>
    <xf numFmtId="0" fontId="15" fillId="6" borderId="0" xfId="0" applyFont="1" applyFill="1" applyAlignment="1">
      <alignment horizontal="center" wrapText="1"/>
    </xf>
    <xf numFmtId="0" fontId="15" fillId="0" borderId="0" xfId="0" applyFont="1" applyAlignment="1">
      <alignment horizontal="center" wrapText="1"/>
    </xf>
    <xf numFmtId="0" fontId="15" fillId="6" borderId="3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right"/>
    </xf>
    <xf numFmtId="0" fontId="4" fillId="0" borderId="1" xfId="0" applyFont="1" applyBorder="1" applyAlignment="1">
      <alignment horizontal="center" vertical="top"/>
    </xf>
    <xf numFmtId="0" fontId="16" fillId="0" borderId="0" xfId="0" applyFon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/>
    <xf numFmtId="0" fontId="0" fillId="0" borderId="0" xfId="0" applyAlignment="1">
      <alignment wrapText="1"/>
    </xf>
    <xf numFmtId="166" fontId="0" fillId="0" borderId="0" xfId="0" applyNumberFormat="1"/>
    <xf numFmtId="0" fontId="18" fillId="0" borderId="0" xfId="0" applyFont="1" applyAlignment="1">
      <alignment horizontal="center"/>
    </xf>
    <xf numFmtId="0" fontId="0" fillId="0" borderId="0" xfId="0" applyNumberFormat="1"/>
    <xf numFmtId="0" fontId="0" fillId="0" borderId="0" xfId="0" applyBorder="1" applyAlignment="1">
      <alignment horizontal="center" vertical="center"/>
    </xf>
    <xf numFmtId="10" fontId="0" fillId="0" borderId="0" xfId="0" applyNumberFormat="1"/>
    <xf numFmtId="9" fontId="0" fillId="0" borderId="0" xfId="0" applyNumberFormat="1"/>
    <xf numFmtId="0" fontId="12" fillId="2" borderId="3" xfId="0" applyFont="1" applyFill="1" applyBorder="1" applyAlignment="1">
      <alignment horizontal="right" vertical="center"/>
    </xf>
    <xf numFmtId="1" fontId="0" fillId="0" borderId="0" xfId="0" applyNumberFormat="1" applyAlignment="1">
      <alignment horizontal="right"/>
    </xf>
    <xf numFmtId="0" fontId="0" fillId="0" borderId="0" xfId="0" applyBorder="1" applyAlignment="1">
      <alignment horizontal="right" vertical="center"/>
    </xf>
    <xf numFmtId="0" fontId="18" fillId="0" borderId="0" xfId="0" applyFont="1" applyAlignment="1">
      <alignment horizontal="center" wrapText="1"/>
    </xf>
  </cellXfs>
  <cellStyles count="1">
    <cellStyle name="Normal" xfId="0" builtinId="0"/>
  </cellStyles>
  <dxfs count="58">
    <dxf>
      <numFmt numFmtId="166" formatCode="_(* #,##0_);_(* \(#,##0\);_(* &quot;-&quot;??_);_(@_)"/>
    </dxf>
    <dxf>
      <numFmt numFmtId="1" formatCode="0"/>
    </dxf>
    <dxf>
      <numFmt numFmtId="13" formatCode="0%"/>
    </dxf>
    <dxf>
      <numFmt numFmtId="166" formatCode="_(* #,##0_);_(* \(#,##0\);_(* &quot;-&quot;??_);_(@_)"/>
    </dxf>
    <dxf>
      <numFmt numFmtId="1" formatCode="0"/>
    </dxf>
    <dxf>
      <numFmt numFmtId="13" formatCode="0%"/>
    </dxf>
    <dxf>
      <numFmt numFmtId="166" formatCode="_(* #,##0_);_(* \(#,##0\);_(* &quot;-&quot;??_);_(@_)"/>
    </dxf>
    <dxf>
      <numFmt numFmtId="1" formatCode="0"/>
    </dxf>
    <dxf>
      <numFmt numFmtId="13" formatCode="0%"/>
    </dxf>
    <dxf>
      <numFmt numFmtId="166" formatCode="_(* #,##0_);_(* \(#,##0\);_(* &quot;-&quot;??_);_(@_)"/>
    </dxf>
    <dxf>
      <numFmt numFmtId="1" formatCode="0"/>
    </dxf>
    <dxf>
      <numFmt numFmtId="13" formatCode="0%"/>
    </dxf>
    <dxf>
      <numFmt numFmtId="0" formatCode="General"/>
      <alignment horizontal="right" vertical="center" textRotation="0" wrapText="0" indent="0" justifyLastLine="0" shrinkToFit="0" readingOrder="0"/>
    </dxf>
    <dxf>
      <numFmt numFmtId="167" formatCode="0.0%"/>
    </dxf>
    <dxf>
      <numFmt numFmtId="13" formatCode="0%"/>
    </dxf>
    <dxf>
      <numFmt numFmtId="167" formatCode="0.0%"/>
    </dxf>
    <dxf>
      <numFmt numFmtId="166" formatCode="_(* #,##0_);_(* \(#,##0\);_(* &quot;-&quot;??_);_(@_)"/>
    </dxf>
    <dxf>
      <numFmt numFmtId="1" formatCode="0"/>
    </dxf>
    <dxf>
      <numFmt numFmtId="13" formatCode="0%"/>
    </dxf>
    <dxf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textRotation="0" wrapText="0" indent="0" justifyLastLine="0" shrinkToFit="0" readingOrder="0"/>
    </dxf>
    <dxf>
      <numFmt numFmtId="13" formatCode="0%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m/d/yy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m/d/yy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m/d/yy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rgb="FF000000"/>
          <bgColor rgb="FF70AD4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</dxf>
    <dxf>
      <numFmt numFmtId="19" formatCode="m/d/yyyy"/>
    </dxf>
    <dxf>
      <numFmt numFmtId="19" formatCode="m/d/yyyy"/>
    </dxf>
    <dxf>
      <numFmt numFmtId="19" formatCode="m/d/yyyy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</dxf>
    <dxf>
      <numFmt numFmtId="166" formatCode="_(* #,##0_);_(* \(#,##0\);_(* &quot;-&quot;??_);_(@_)"/>
    </dxf>
  </dxfs>
  <tableStyles count="1" defaultTableStyle="TableStyleMedium2" defaultPivotStyle="PivotStyleLight16">
    <tableStyle name="Invisible" pivot="0" table="0" count="0" xr9:uid="{AA73528B-8D85-432A-9172-AA70B5E8C66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rShaabanHPVictus" refreshedDate="46266.880863078703" createdVersion="8" refreshedVersion="8" minRefreshableVersion="3" recordCount="126" xr:uid="{9F83BBC7-C71E-497C-BEAB-A93E4532CB74}">
  <cacheSource type="worksheet">
    <worksheetSource name="table1"/>
  </cacheSource>
  <cacheFields count="25">
    <cacheField name="أسم العميل" numFmtId="0">
      <sharedItems/>
    </cacheField>
    <cacheField name="Column3" numFmtId="0">
      <sharedItems count="2">
        <s v="أفراد"/>
        <s v="شركات"/>
      </sharedItems>
    </cacheField>
    <cacheField name="العنوان" numFmtId="0">
      <sharedItems containsBlank="1"/>
    </cacheField>
    <cacheField name="المدينة" numFmtId="0">
      <sharedItems count="10">
        <s v="الجيزة (Giza)"/>
        <s v="الإسكندرية (Alexandria)"/>
        <s v="مطروح (Matrouh)"/>
        <s v="البحر الأحمر (Red Sea)"/>
        <e v="#N/A"/>
        <s v="القاهرة (Cairo)"/>
        <s v="القليوبية (Qalyubia)"/>
        <s v="السويس (Suez)"/>
        <s v="أسيوط (Asyut)"/>
        <s v="مستودع / مخزن مركزى (Central Warehouse)"/>
      </sharedItems>
    </cacheField>
    <cacheField name="منصة البيع " numFmtId="0">
      <sharedItems count="14">
        <s v="هومزمارت"/>
        <s v="شيك هومز"/>
        <s v="فيس بوك"/>
        <s v="تاكى"/>
        <s v="اوسكار ريتن"/>
        <s v="السويس"/>
        <s v="منزلى"/>
        <s v="كيمت"/>
        <s v="شيك هومز " u="1"/>
        <s v="تاكى " u="1"/>
        <s v="اوسكار ريتن " u="1"/>
        <s v="كيمت " u="1"/>
        <s v="هومزمارت " u="1"/>
        <s v="منزلى " u="1"/>
      </sharedItems>
    </cacheField>
    <cacheField name="Column1" numFmtId="0">
      <sharedItems count="6">
        <s v="سرير"/>
        <s v="تربيزه"/>
        <s v="كنبة"/>
        <s v="ركنة"/>
        <s v="كرسى"/>
        <s v="شيزلونج"/>
      </sharedItems>
    </cacheField>
    <cacheField name="Column2" numFmtId="0">
      <sharedItems containsBlank="1"/>
    </cacheField>
    <cacheField name="الاسم" numFmtId="0">
      <sharedItems containsBlank="1"/>
    </cacheField>
    <cacheField name="المقاس" numFmtId="0">
      <sharedItems containsBlank="1" containsMixedTypes="1" containsNumber="1" containsInteger="1" minValue="80" maxValue="160"/>
    </cacheField>
    <cacheField name="اللون المعدن" numFmtId="0">
      <sharedItems/>
    </cacheField>
    <cacheField name="لون المعدن2" numFmtId="0">
      <sharedItems count="12">
        <s v="أبيض"/>
        <s v="أسود"/>
        <s v="ازرق"/>
        <s v=""/>
        <s v="رمادى"/>
        <s v="دهبي"/>
        <s v="بنفسجى"/>
        <s v="أسود وبنى"/>
        <s v="ملون"/>
        <s v="بينك"/>
        <s v="نبيتى"/>
        <s v="الوان"/>
      </sharedItems>
    </cacheField>
    <cacheField name="لون القماش" numFmtId="0">
      <sharedItems count="12">
        <s v="أبيض"/>
        <s v="أسود"/>
        <s v=""/>
        <s v="رمادى"/>
        <s v="نبيتى"/>
        <s v="بيج"/>
        <s v="رصاصي مشجر"/>
        <s v="بترولى"/>
        <s v="خشب بنى فاتح"/>
        <s v="أبيض في بنى غامق"/>
        <s v="بنى غامق"/>
        <s v="روك ١٠"/>
      </sharedItems>
    </cacheField>
    <cacheField name="المنتج" numFmtId="0">
      <sharedItems containsBlank="1"/>
    </cacheField>
    <cacheField name="سعر البيع " numFmtId="0">
      <sharedItems containsSemiMixedTypes="0" containsString="0" containsNumber="1" minValue="4020" maxValue="22000"/>
    </cacheField>
    <cacheField name="طريقه الدفع " numFmtId="0">
      <sharedItems containsBlank="1" containsMixedTypes="1" containsNumber="1" minValue="1278.53" maxValue="22000"/>
    </cacheField>
    <cacheField name="ميعاد الطلب" numFmtId="14">
      <sharedItems containsDate="1" containsBlank="1" containsMixedTypes="1" minDate="2024-07-27T00:00:00" maxDate="2024-12-15T00:00:00"/>
    </cacheField>
    <cacheField name="ميعاد التسليم" numFmtId="14">
      <sharedItems containsNonDate="0" containsDate="1" containsString="0" containsBlank="1" minDate="2024-08-20T00:00:00" maxDate="2025-01-06T00:00:00"/>
    </cacheField>
    <cacheField name="تاريخ التسليم" numFmtId="14">
      <sharedItems containsNonDate="0" containsDate="1" containsString="0" containsBlank="1" minDate="2024-08-10T00:00:00" maxDate="2024-12-30T00:00:00"/>
    </cacheField>
    <cacheField name="عدد أيام التسليم الأصلى" numFmtId="1">
      <sharedItems containsString="0" containsBlank="1" containsNumber="1" containsInteger="1" minValue="0" maxValue="67"/>
    </cacheField>
    <cacheField name="عدد أيام التسليم الفعلى" numFmtId="1">
      <sharedItems containsSemiMixedTypes="0" containsString="0" containsNumber="1" containsInteger="1" minValue="0" maxValue="59"/>
    </cacheField>
    <cacheField name="Column4" numFmtId="1">
      <sharedItems containsMixedTypes="1" containsNumber="1" containsInteger="1" minValue="-20" maxValue="59"/>
    </cacheField>
    <cacheField name="Column5" numFmtId="1">
      <sharedItems count="4">
        <s v="لا يوجد تاريخ"/>
        <s v="تم التسليم قبل الموعد"/>
        <s v="تم التسليم بعد الموعد"/>
        <s v="تم التسليم في الموعد" u="1"/>
      </sharedItems>
    </cacheField>
    <cacheField name="المسئول عن التسليم" numFmtId="0">
      <sharedItems containsBlank="1"/>
    </cacheField>
    <cacheField name="الحالة" numFmtId="0">
      <sharedItems containsBlank="1" count="7">
        <s v="تم التسليم"/>
        <s v="فشل التسليم"/>
        <s v="لاغى"/>
        <s v="مرتجع"/>
        <m/>
        <s v="تم التسليم "/>
        <s v="مرفوض "/>
      </sharedItems>
    </cacheField>
    <cacheField name="الحالة1" numFmtId="0">
      <sharedItems count="6">
        <s v="تم التسليم"/>
        <s v="فشل التسليم"/>
        <s v="لاغى"/>
        <s v="مرتجع"/>
        <s v=""/>
        <s v="مرفوض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">
  <r>
    <s v="خالد عبد القوى"/>
    <x v="0"/>
    <s v="العجوزه - الجيزه"/>
    <x v="0"/>
    <x v="0"/>
    <x v="0"/>
    <s v="منطبق"/>
    <m/>
    <m/>
    <s v="أبيض"/>
    <x v="0"/>
    <x v="0"/>
    <s v="سرير منطبق الحديد ابيض والقماش ابيض "/>
    <n v="10160"/>
    <s v="مسبق الدفع"/>
    <d v="2024-07-27T00:00:00"/>
    <m/>
    <d v="2024-08-10T00:00:00"/>
    <n v="0"/>
    <n v="0"/>
    <s v="0"/>
    <x v="0"/>
    <s v="تم التسليم عن طريق شركه شحن "/>
    <x v="0"/>
    <x v="0"/>
  </r>
  <r>
    <s v="محمود"/>
    <x v="0"/>
    <s v="سموحه - اسكندريه"/>
    <x v="1"/>
    <x v="0"/>
    <x v="0"/>
    <s v="منطبق"/>
    <m/>
    <m/>
    <s v="أسود"/>
    <x v="1"/>
    <x v="1"/>
    <s v="سرير منطبق اسود والقماش اسود "/>
    <n v="10160"/>
    <n v="9749"/>
    <d v="2024-07-28T00:00:00"/>
    <m/>
    <d v="2024-08-11T00:00:00"/>
    <n v="0"/>
    <n v="0"/>
    <s v="0"/>
    <x v="0"/>
    <s v="تم التسليم عن طريق شركه شحن "/>
    <x v="0"/>
    <x v="0"/>
  </r>
  <r>
    <s v="سعيد"/>
    <x v="0"/>
    <s v="سيدى عبد الرحمن - الساحل الشمالى"/>
    <x v="2"/>
    <x v="0"/>
    <x v="0"/>
    <s v="دورين"/>
    <s v="كيفنج"/>
    <n v="90"/>
    <s v="ازرق"/>
    <x v="2"/>
    <x v="2"/>
    <s v="سرير كيفينج مقاس 90 لون ازرق "/>
    <n v="11455"/>
    <n v="10067.68"/>
    <d v="2024-07-27T00:00:00"/>
    <m/>
    <m/>
    <n v="0"/>
    <n v="0"/>
    <s v="0"/>
    <x v="0"/>
    <s v="فشل التسليم "/>
    <x v="1"/>
    <x v="1"/>
  </r>
  <r>
    <s v="ساندرا"/>
    <x v="0"/>
    <s v="الغردقه"/>
    <x v="3"/>
    <x v="0"/>
    <x v="1"/>
    <m/>
    <m/>
    <m/>
    <s v=""/>
    <x v="3"/>
    <x v="2"/>
    <s v="ترابيزه قهوه متحركه "/>
    <n v="8642"/>
    <s v="مسبق الدفع"/>
    <d v="2024-08-25T00:00:00"/>
    <d v="2024-09-07T00:00:00"/>
    <d v="2024-08-27T00:00:00"/>
    <n v="13"/>
    <n v="2"/>
    <n v="11"/>
    <x v="1"/>
    <s v="تم التسليم عن طريق شركه شحن "/>
    <x v="0"/>
    <x v="0"/>
  </r>
  <r>
    <s v="زينا"/>
    <x v="0"/>
    <s v="سيدى عبد الرحمن - الساحل الشمالى"/>
    <x v="2"/>
    <x v="0"/>
    <x v="0"/>
    <s v="دورين"/>
    <s v="نوفال"/>
    <n v="100"/>
    <s v="رمادى"/>
    <x v="4"/>
    <x v="2"/>
    <s v="سرير نوفال متر رمادى "/>
    <n v="12833"/>
    <n v="12974.22"/>
    <d v="2024-08-16T00:00:00"/>
    <d v="2024-08-31T00:00:00"/>
    <m/>
    <n v="15"/>
    <n v="0"/>
    <s v="0"/>
    <x v="0"/>
    <s v="فشل التسليم "/>
    <x v="1"/>
    <x v="1"/>
  </r>
  <r>
    <s v="شيك هومز"/>
    <x v="1"/>
    <m/>
    <x v="4"/>
    <x v="1"/>
    <x v="2"/>
    <s v="4*1"/>
    <m/>
    <m/>
    <s v=""/>
    <x v="3"/>
    <x v="3"/>
    <s v="كنبه سرير رمادى "/>
    <n v="14550"/>
    <s v="مسبق الدفع"/>
    <d v="2024-08-14T00:00:00"/>
    <d v="2024-09-03T00:00:00"/>
    <d v="2024-09-05T00:00:00"/>
    <n v="20"/>
    <n v="22"/>
    <n v="-2"/>
    <x v="2"/>
    <s v="تم التسليم عن طريق شركه شحن "/>
    <x v="0"/>
    <x v="0"/>
  </r>
  <r>
    <s v="احمد"/>
    <x v="0"/>
    <s v="التجمع الخامس"/>
    <x v="5"/>
    <x v="2"/>
    <x v="2"/>
    <s v="4*1"/>
    <m/>
    <m/>
    <s v=""/>
    <x v="3"/>
    <x v="3"/>
    <s v="كنبه سرير رمادى "/>
    <n v="12000"/>
    <n v="12000"/>
    <d v="2024-08-17T00:00:00"/>
    <d v="2024-08-20T00:00:00"/>
    <d v="2024-08-19T00:00:00"/>
    <n v="3"/>
    <n v="2"/>
    <n v="1"/>
    <x v="1"/>
    <s v="تم التسليم عن طريق شركه شحن "/>
    <x v="0"/>
    <x v="0"/>
  </r>
  <r>
    <s v="yilmaz"/>
    <x v="0"/>
    <s v="٦ اكتوبر الجيزه"/>
    <x v="0"/>
    <x v="0"/>
    <x v="0"/>
    <s v="فردى"/>
    <m/>
    <m/>
    <s v="أبيض"/>
    <x v="0"/>
    <x v="2"/>
    <s v="سرير فردى ابيض "/>
    <n v="7228"/>
    <s v="مسبق الدفع"/>
    <d v="2024-08-25T00:00:00"/>
    <d v="2024-09-03T00:00:00"/>
    <d v="2024-09-10T00:00:00"/>
    <n v="9"/>
    <n v="16"/>
    <n v="-7"/>
    <x v="2"/>
    <s v="تم التسليم عن طريق شركه شحن "/>
    <x v="0"/>
    <x v="0"/>
  </r>
  <r>
    <s v="تاكى"/>
    <x v="1"/>
    <s v="العباسيه"/>
    <x v="5"/>
    <x v="3"/>
    <x v="3"/>
    <s v="ركنة بسرير"/>
    <m/>
    <m/>
    <s v=""/>
    <x v="3"/>
    <x v="2"/>
    <s v="ركنه "/>
    <n v="22000"/>
    <n v="22000"/>
    <d v="2024-08-19T00:00:00"/>
    <d v="2024-09-01T00:00:00"/>
    <d v="2024-09-17T00:00:00"/>
    <n v="13"/>
    <n v="29"/>
    <n v="-16"/>
    <x v="2"/>
    <m/>
    <x v="0"/>
    <x v="0"/>
  </r>
  <r>
    <s v="تاكى"/>
    <x v="1"/>
    <s v="العباسيه"/>
    <x v="5"/>
    <x v="3"/>
    <x v="2"/>
    <s v="سحارة"/>
    <m/>
    <m/>
    <s v=""/>
    <x v="3"/>
    <x v="2"/>
    <s v="٢ كنبه سحاره بمخدع"/>
    <n v="16000"/>
    <n v="16000"/>
    <m/>
    <m/>
    <m/>
    <n v="0"/>
    <n v="0"/>
    <s v="0"/>
    <x v="0"/>
    <s v="ملغى "/>
    <x v="2"/>
    <x v="2"/>
  </r>
  <r>
    <s v="تاكى"/>
    <x v="1"/>
    <s v="العباسيه"/>
    <x v="5"/>
    <x v="3"/>
    <x v="2"/>
    <s v="سحارة"/>
    <m/>
    <m/>
    <s v=""/>
    <x v="3"/>
    <x v="2"/>
    <s v="٢ كنبه سحاره بدون مخدع "/>
    <n v="6000"/>
    <n v="12000"/>
    <d v="2024-08-25T00:00:00"/>
    <d v="2024-09-15T00:00:00"/>
    <d v="2024-09-17T00:00:00"/>
    <n v="21"/>
    <n v="23"/>
    <n v="-2"/>
    <x v="2"/>
    <s v="تم التسليم محمود على "/>
    <x v="0"/>
    <x v="0"/>
  </r>
  <r>
    <s v="تاكى"/>
    <x v="1"/>
    <s v="العباسيه"/>
    <x v="5"/>
    <x v="3"/>
    <x v="2"/>
    <s v="سحارة"/>
    <m/>
    <m/>
    <s v=""/>
    <x v="3"/>
    <x v="2"/>
    <s v="٢ كنبه سحاره بدون مخدع "/>
    <n v="6000"/>
    <n v="12000"/>
    <d v="2024-08-25T00:00:00"/>
    <d v="2024-09-15T00:00:00"/>
    <d v="2024-09-17T00:00:00"/>
    <n v="21"/>
    <n v="23"/>
    <n v="-2"/>
    <x v="2"/>
    <s v="تم التسليم محمود على "/>
    <x v="0"/>
    <x v="0"/>
  </r>
  <r>
    <s v="على رشوان"/>
    <x v="0"/>
    <s v="مصر الجديده"/>
    <x v="5"/>
    <x v="0"/>
    <x v="0"/>
    <s v="دورين"/>
    <s v="نوفال"/>
    <n v="80"/>
    <s v="أبيض"/>
    <x v="0"/>
    <x v="2"/>
    <s v="سرير نوفال ابيض مقاس ٨٠"/>
    <n v="10499"/>
    <n v="8924"/>
    <d v="2024-09-01T00:00:00"/>
    <d v="2024-09-16T00:00:00"/>
    <d v="2024-09-08T00:00:00"/>
    <n v="15"/>
    <n v="7"/>
    <n v="8"/>
    <x v="1"/>
    <s v="تم التسليم عن طريق شركه شحن "/>
    <x v="0"/>
    <x v="0"/>
  </r>
  <r>
    <s v="احمد فخرى"/>
    <x v="0"/>
    <s v="٦ اكتوبر الجيزه"/>
    <x v="0"/>
    <x v="0"/>
    <x v="0"/>
    <s v="فردى"/>
    <s v="نوفال"/>
    <n v="80"/>
    <s v="أبيض"/>
    <x v="0"/>
    <x v="2"/>
    <s v="سرير فردى خشب موسكى الحديد ابيض مقاس ٨٠"/>
    <n v="7295"/>
    <n v="5895"/>
    <d v="2024-09-05T00:00:00"/>
    <d v="2024-09-14T00:00:00"/>
    <m/>
    <n v="9"/>
    <n v="0"/>
    <s v="0"/>
    <x v="0"/>
    <m/>
    <x v="2"/>
    <x v="2"/>
  </r>
  <r>
    <s v="لينا"/>
    <x v="0"/>
    <s v="المقطم"/>
    <x v="5"/>
    <x v="0"/>
    <x v="1"/>
    <s v="2 ميكانزم"/>
    <m/>
    <m/>
    <s v=""/>
    <x v="3"/>
    <x v="2"/>
    <s v="ترابيزه قهوه علويه جديده "/>
    <n v="7849"/>
    <s v="مسبق الدفع"/>
    <d v="2024-09-04T00:00:00"/>
    <d v="2024-09-16T00:00:00"/>
    <d v="2024-09-25T00:00:00"/>
    <n v="12"/>
    <n v="21"/>
    <n v="-9"/>
    <x v="2"/>
    <s v="تم التسليم عن طريق شركه شحن "/>
    <x v="3"/>
    <x v="3"/>
  </r>
  <r>
    <s v="فيصل نعيم"/>
    <x v="0"/>
    <s v="التجمع الخامس"/>
    <x v="5"/>
    <x v="4"/>
    <x v="0"/>
    <s v="دورين"/>
    <s v="كيفنج"/>
    <n v="120"/>
    <s v="أسود"/>
    <x v="1"/>
    <x v="2"/>
    <s v="٢ سرير كيفنج ١٢٠ اسود "/>
    <n v="6180"/>
    <n v="9700"/>
    <d v="2024-09-03T00:00:00"/>
    <d v="2024-09-16T00:00:00"/>
    <d v="2024-09-15T00:00:00"/>
    <n v="13"/>
    <n v="12"/>
    <n v="1"/>
    <x v="1"/>
    <s v="تم التسليم محمود على "/>
    <x v="0"/>
    <x v="0"/>
  </r>
  <r>
    <s v="فيصل نعيم"/>
    <x v="0"/>
    <s v="التجمع الخامس"/>
    <x v="5"/>
    <x v="4"/>
    <x v="0"/>
    <s v="دورين"/>
    <s v="كيفنج"/>
    <n v="120"/>
    <s v="أسود"/>
    <x v="1"/>
    <x v="2"/>
    <s v="٢ سرير كيفنج ١٢٠ اسود "/>
    <n v="6180"/>
    <n v="9700"/>
    <d v="2024-09-03T00:00:00"/>
    <d v="2024-09-16T00:00:00"/>
    <d v="2024-09-15T00:00:00"/>
    <n v="13"/>
    <n v="12"/>
    <n v="1"/>
    <x v="1"/>
    <s v="تم التسليم محمود على "/>
    <x v="0"/>
    <x v="0"/>
  </r>
  <r>
    <s v="ellho elkafy"/>
    <x v="0"/>
    <s v="مدينه نصر"/>
    <x v="5"/>
    <x v="0"/>
    <x v="0"/>
    <s v="دورين"/>
    <s v="كينج"/>
    <n v="80"/>
    <s v="أبيض"/>
    <x v="0"/>
    <x v="2"/>
    <s v="سرير كينج ابيض مقاس ٨٠ التصميم الجديد "/>
    <n v="11199"/>
    <n v="11310"/>
    <d v="2024-09-04T00:00:00"/>
    <d v="2024-09-18T00:00:00"/>
    <m/>
    <n v="14"/>
    <n v="0"/>
    <s v="0"/>
    <x v="0"/>
    <m/>
    <x v="2"/>
    <x v="2"/>
  </r>
  <r>
    <s v="احمد"/>
    <x v="0"/>
    <s v="القاهره الجديده"/>
    <x v="5"/>
    <x v="0"/>
    <x v="0"/>
    <s v="فردى"/>
    <s v="فورجينا"/>
    <n v="80"/>
    <s v="أبيض"/>
    <x v="0"/>
    <x v="2"/>
    <s v="٤سرير فردى خشب موسكى الحديد ابيض مقاس ٨٠"/>
    <n v="7987"/>
    <s v="مسبق الدفع"/>
    <d v="2024-09-06T00:00:00"/>
    <d v="2024-09-16T00:00:00"/>
    <d v="2024-09-21T00:00:00"/>
    <n v="10"/>
    <n v="15"/>
    <n v="-5"/>
    <x v="2"/>
    <s v="تم التسليم محمود على "/>
    <x v="0"/>
    <x v="0"/>
  </r>
  <r>
    <s v="تاكى"/>
    <x v="1"/>
    <s v="العباسيه"/>
    <x v="5"/>
    <x v="3"/>
    <x v="4"/>
    <s v="فنسيا"/>
    <m/>
    <m/>
    <s v=""/>
    <x v="3"/>
    <x v="2"/>
    <s v="٢ فوتيه فنيسيا "/>
    <n v="9300"/>
    <n v="9300"/>
    <d v="2024-09-04T00:00:00"/>
    <d v="2024-09-15T00:00:00"/>
    <d v="2024-09-17T00:00:00"/>
    <n v="11"/>
    <n v="13"/>
    <n v="-2"/>
    <x v="2"/>
    <s v="تم التسليم محمود على "/>
    <x v="0"/>
    <x v="0"/>
  </r>
  <r>
    <s v="احمد"/>
    <x v="0"/>
    <s v="القاهره الجديده"/>
    <x v="5"/>
    <x v="0"/>
    <x v="0"/>
    <s v="فردى"/>
    <s v="فورجينا"/>
    <n v="80"/>
    <s v="أبيض"/>
    <x v="0"/>
    <x v="2"/>
    <s v="٤سرير فردى خشب موسكى الحديد ابيض مقاس ٨٠"/>
    <n v="7987"/>
    <s v="مسبق الدفع"/>
    <d v="2024-09-06T00:00:00"/>
    <d v="2024-09-16T00:00:00"/>
    <d v="2024-09-21T00:00:00"/>
    <n v="10"/>
    <n v="15"/>
    <n v="-5"/>
    <x v="2"/>
    <s v="تم التسليم محمود على "/>
    <x v="0"/>
    <x v="0"/>
  </r>
  <r>
    <s v="احمد"/>
    <x v="0"/>
    <s v="القاهره الجديده"/>
    <x v="5"/>
    <x v="0"/>
    <x v="0"/>
    <s v="فردى"/>
    <s v="فورجينا"/>
    <n v="80"/>
    <s v="أبيض"/>
    <x v="0"/>
    <x v="2"/>
    <s v="٤سرير فردى خشب موسكى الحديد ابيض مقاس ٨٠"/>
    <n v="7987"/>
    <s v="مسبق الدفع"/>
    <d v="2024-09-06T00:00:00"/>
    <d v="2024-09-16T00:00:00"/>
    <d v="2024-09-21T00:00:00"/>
    <n v="10"/>
    <n v="15"/>
    <n v="-5"/>
    <x v="2"/>
    <s v="تم التسليم محمود على "/>
    <x v="0"/>
    <x v="0"/>
  </r>
  <r>
    <s v="احمد"/>
    <x v="0"/>
    <s v="القاهره الجديده"/>
    <x v="5"/>
    <x v="0"/>
    <x v="0"/>
    <s v="فردى"/>
    <s v="فورجينا"/>
    <n v="80"/>
    <s v="أبيض"/>
    <x v="0"/>
    <x v="2"/>
    <s v="٤سرير فردى خشب موسكى الحديد ابيض مقاس ٨٠"/>
    <n v="7987"/>
    <s v="مسبق الدفع"/>
    <d v="2024-09-06T00:00:00"/>
    <d v="2024-09-16T00:00:00"/>
    <d v="2024-09-21T00:00:00"/>
    <n v="10"/>
    <n v="15"/>
    <n v="-5"/>
    <x v="2"/>
    <s v="تم التسليم محمود على "/>
    <x v="0"/>
    <x v="0"/>
  </r>
  <r>
    <s v="صفاء"/>
    <x v="0"/>
    <s v="المعادى"/>
    <x v="5"/>
    <x v="0"/>
    <x v="1"/>
    <s v="2 ميكانزم"/>
    <m/>
    <m/>
    <s v=""/>
    <x v="3"/>
    <x v="2"/>
    <s v="ترابيزه قهوه علويه جديده "/>
    <n v="8849"/>
    <s v="مسبق الدفع"/>
    <d v="2024-09-03T00:00:00"/>
    <d v="2024-10-16T00:00:00"/>
    <m/>
    <n v="43"/>
    <n v="0"/>
    <s v="0"/>
    <x v="0"/>
    <m/>
    <x v="2"/>
    <x v="2"/>
  </r>
  <r>
    <s v="حسن حازم"/>
    <x v="0"/>
    <s v="٦ اكتوبر الجيزه"/>
    <x v="0"/>
    <x v="0"/>
    <x v="0"/>
    <s v="فردى"/>
    <s v="اسبانى"/>
    <n v="120"/>
    <s v="أبيض"/>
    <x v="0"/>
    <x v="2"/>
    <s v="سرير اسبانى ابيض ١٢٠"/>
    <n v="10987"/>
    <s v="مسبق الدفع"/>
    <d v="2024-09-09T00:00:00"/>
    <d v="2024-09-17T00:00:00"/>
    <d v="2024-09-21T00:00:00"/>
    <n v="8"/>
    <n v="12"/>
    <n v="-4"/>
    <x v="2"/>
    <s v="تم التسليم محمود على "/>
    <x v="0"/>
    <x v="0"/>
  </r>
  <r>
    <s v="شيك هومز"/>
    <x v="1"/>
    <m/>
    <x v="4"/>
    <x v="1"/>
    <x v="0"/>
    <s v="دورين"/>
    <s v="كينج"/>
    <n v="100"/>
    <s v="أبيض"/>
    <x v="0"/>
    <x v="2"/>
    <s v="سرير كينج ابيض "/>
    <n v="9208"/>
    <n v="5781.75"/>
    <d v="2024-09-01T00:00:00"/>
    <d v="2024-09-19T00:00:00"/>
    <d v="2024-09-21T00:00:00"/>
    <n v="18"/>
    <n v="20"/>
    <n v="-2"/>
    <x v="2"/>
    <s v="تم التسليم محمود على "/>
    <x v="0"/>
    <x v="0"/>
  </r>
  <r>
    <s v="شيك هومز"/>
    <x v="1"/>
    <m/>
    <x v="4"/>
    <x v="1"/>
    <x v="0"/>
    <s v="دورين"/>
    <s v="كينج"/>
    <n v="100"/>
    <s v="أسود"/>
    <x v="1"/>
    <x v="2"/>
    <s v="سرير كينج اسود "/>
    <n v="9208"/>
    <n v="1278.53"/>
    <d v="2024-09-01T00:00:00"/>
    <d v="2024-09-19T00:00:00"/>
    <d v="2024-09-21T00:00:00"/>
    <n v="18"/>
    <n v="20"/>
    <n v="-2"/>
    <x v="2"/>
    <s v="تم التسليم محمود على "/>
    <x v="0"/>
    <x v="0"/>
  </r>
  <r>
    <s v="اوسكار راتن"/>
    <x v="1"/>
    <s v="مخزن اوسكار في القناطر"/>
    <x v="6"/>
    <x v="4"/>
    <x v="0"/>
    <s v="فردى"/>
    <s v="فورجينا"/>
    <n v="120"/>
    <s v="أبيض"/>
    <x v="0"/>
    <x v="2"/>
    <s v="٢ سريرفورجينا خشب موسكى ابيض مقاس ١٢٠"/>
    <n v="4020"/>
    <s v="حساب شركه"/>
    <d v="2024-09-12T00:00:00"/>
    <d v="2024-09-21T00:00:00"/>
    <d v="2024-09-22T00:00:00"/>
    <n v="9"/>
    <n v="10"/>
    <n v="-1"/>
    <x v="2"/>
    <s v="تم التسليم محمود على "/>
    <x v="0"/>
    <x v="0"/>
  </r>
  <r>
    <s v="اوسكار راتن"/>
    <x v="1"/>
    <s v="مخزن اوسكار في القناطر"/>
    <x v="6"/>
    <x v="4"/>
    <x v="0"/>
    <s v="فردى"/>
    <s v="فورجينا"/>
    <n v="120"/>
    <s v="أبيض"/>
    <x v="0"/>
    <x v="2"/>
    <s v="٢ سريرفورجينا خشب موسكى ابيض مقاس ١٢٠"/>
    <n v="4020"/>
    <s v="حساب شركه"/>
    <d v="2024-09-12T00:00:00"/>
    <d v="2024-09-21T00:00:00"/>
    <d v="2024-09-22T00:00:00"/>
    <n v="9"/>
    <n v="10"/>
    <n v="-1"/>
    <x v="2"/>
    <s v="تم التسليم محمود على "/>
    <x v="0"/>
    <x v="0"/>
  </r>
  <r>
    <s v="اوسكار راتن"/>
    <x v="1"/>
    <s v="مخزن اوسكار في القناطر"/>
    <x v="6"/>
    <x v="4"/>
    <x v="0"/>
    <s v="فردى"/>
    <s v="ارفيل"/>
    <n v="120"/>
    <s v="أسود"/>
    <x v="1"/>
    <x v="2"/>
    <s v="٢ سرير ارفيل ١٢٠ اسود "/>
    <n v="4020"/>
    <s v="مسبق الدفع "/>
    <d v="2024-09-12T00:00:00"/>
    <d v="2024-09-21T00:00:00"/>
    <d v="2024-09-22T00:00:00"/>
    <n v="9"/>
    <n v="10"/>
    <n v="-1"/>
    <x v="2"/>
    <s v="تم التسليم محمود على "/>
    <x v="0"/>
    <x v="0"/>
  </r>
  <r>
    <s v="اوسكار راتن"/>
    <x v="1"/>
    <s v="مخزن اوسكار في القناطر"/>
    <x v="6"/>
    <x v="4"/>
    <x v="0"/>
    <s v="فردى"/>
    <s v="ارفيل"/>
    <n v="120"/>
    <s v="أسود"/>
    <x v="1"/>
    <x v="2"/>
    <s v="٢ سرير ارفيل ١٢٠ اسود "/>
    <n v="4020"/>
    <s v="مسبق الدفع "/>
    <d v="2024-09-12T00:00:00"/>
    <d v="2024-09-21T00:00:00"/>
    <d v="2024-09-22T00:00:00"/>
    <n v="9"/>
    <n v="10"/>
    <n v="-1"/>
    <x v="2"/>
    <s v="تم التسليم محمود على "/>
    <x v="0"/>
    <x v="0"/>
  </r>
  <r>
    <s v="صفاء الحكيم"/>
    <x v="0"/>
    <s v="العين السخنه"/>
    <x v="7"/>
    <x v="0"/>
    <x v="0"/>
    <s v="منطبق"/>
    <m/>
    <m/>
    <s v="أسود"/>
    <x v="1"/>
    <x v="1"/>
    <s v="سرير منطببق اسود وقماش اسود"/>
    <n v="9399"/>
    <s v="مسبق الدفع "/>
    <s v="14/9/2024"/>
    <d v="2024-09-22T00:00:00"/>
    <m/>
    <m/>
    <n v="0"/>
    <s v="0"/>
    <x v="0"/>
    <s v="فشل التسليم "/>
    <x v="1"/>
    <x v="1"/>
  </r>
  <r>
    <s v="يوسف شناوى"/>
    <x v="0"/>
    <s v="الابراهيميه . الإسكندرية"/>
    <x v="1"/>
    <x v="0"/>
    <x v="1"/>
    <s v="رف سحاب"/>
    <m/>
    <m/>
    <s v=""/>
    <x v="3"/>
    <x v="2"/>
    <s v="ترابيزه قهوه علويه برف سحاب "/>
    <n v="8349"/>
    <s v="مسبق الدفع "/>
    <d v="2024-09-14T00:00:00"/>
    <d v="2024-09-22T00:00:00"/>
    <d v="2024-09-24T00:00:00"/>
    <n v="8"/>
    <n v="10"/>
    <n v="-2"/>
    <x v="2"/>
    <s v="تم التسليم عن طريق شركه شحن "/>
    <x v="0"/>
    <x v="0"/>
  </r>
  <r>
    <s v="حاتم العيسوي"/>
    <x v="0"/>
    <s v="٦ اكتوبر الجيزه"/>
    <x v="0"/>
    <x v="0"/>
    <x v="0"/>
    <s v="منطبق"/>
    <m/>
    <m/>
    <s v="أسود"/>
    <x v="1"/>
    <x v="1"/>
    <s v="سرير منطبق اسود حديد وقماش"/>
    <n v="9399"/>
    <s v="مسبق الدفع"/>
    <d v="2024-09-13T00:00:00"/>
    <d v="2024-09-24T00:00:00"/>
    <d v="2024-09-30T00:00:00"/>
    <n v="11"/>
    <n v="17"/>
    <n v="-6"/>
    <x v="2"/>
    <s v="تم التسليم عن طريق شركه شحن "/>
    <x v="0"/>
    <x v="0"/>
  </r>
  <r>
    <s v="رنا"/>
    <x v="0"/>
    <s v="القطاميه"/>
    <x v="5"/>
    <x v="0"/>
    <x v="1"/>
    <s v="2 ميكانزم"/>
    <m/>
    <m/>
    <s v=""/>
    <x v="3"/>
    <x v="2"/>
    <s v="ترابيزه قهوه علويه جديده "/>
    <n v="7849"/>
    <n v="7928"/>
    <d v="2024-09-12T00:00:00"/>
    <d v="2024-09-26T00:00:00"/>
    <m/>
    <n v="14"/>
    <n v="0"/>
    <s v="0"/>
    <x v="0"/>
    <s v="تم التسليم عن طريق شركه شحن "/>
    <x v="0"/>
    <x v="0"/>
  </r>
  <r>
    <s v="عبير نور الدين"/>
    <x v="0"/>
    <s v="١٨ شارع البحيري بولاق الدكرور الجيزه"/>
    <x v="0"/>
    <x v="2"/>
    <x v="0"/>
    <s v="ثلاثه ادوار"/>
    <s v="كيفنج"/>
    <n v="100"/>
    <s v="أسود"/>
    <x v="1"/>
    <x v="2"/>
    <s v="سرير ٣ ادورا اسود مقاس ١٠٠ "/>
    <n v="9450"/>
    <n v="9450"/>
    <d v="2024-09-12T00:00:00"/>
    <d v="2024-09-26T00:00:00"/>
    <m/>
    <n v="14"/>
    <n v="0"/>
    <s v="0"/>
    <x v="0"/>
    <m/>
    <x v="2"/>
    <x v="2"/>
  </r>
  <r>
    <s v="اسراء ابو العنين"/>
    <x v="0"/>
    <s v="القاهره الجديده"/>
    <x v="5"/>
    <x v="0"/>
    <x v="0"/>
    <s v="فردى"/>
    <s v="اسبانى"/>
    <n v="120"/>
    <s v="أسود"/>
    <x v="1"/>
    <x v="2"/>
    <s v="سرير اسبانى اسود مقاس ١٢٠"/>
    <n v="7460"/>
    <s v="مسبق الدفع"/>
    <d v="2024-09-13T00:00:00"/>
    <d v="2024-09-26T00:00:00"/>
    <d v="2024-10-03T00:00:00"/>
    <n v="13"/>
    <n v="20"/>
    <n v="-7"/>
    <x v="2"/>
    <s v="تم التسليم محمود على "/>
    <x v="0"/>
    <x v="0"/>
  </r>
  <r>
    <s v="وائل صادق"/>
    <x v="0"/>
    <s v="القاهره الجديده"/>
    <x v="5"/>
    <x v="0"/>
    <x v="0"/>
    <s v="فردى"/>
    <s v="كورين"/>
    <n v="140"/>
    <s v="دهبي"/>
    <x v="5"/>
    <x v="3"/>
    <s v="سرير كوين مقاس ١٤٠ دهبي ورمادى "/>
    <n v="9528"/>
    <s v="مسبق الدفع"/>
    <d v="2024-09-13T00:00:00"/>
    <d v="2024-09-26T00:00:00"/>
    <d v="2024-10-03T00:00:00"/>
    <n v="13"/>
    <n v="20"/>
    <n v="-7"/>
    <x v="2"/>
    <s v="تم التسليم محمود على "/>
    <x v="0"/>
    <x v="0"/>
  </r>
  <r>
    <s v="حسن مغرب"/>
    <x v="0"/>
    <s v="٦ اكتوبر الجيزه"/>
    <x v="0"/>
    <x v="0"/>
    <x v="0"/>
    <s v="دورين"/>
    <s v="كيفنج"/>
    <n v="120"/>
    <s v="رمادى"/>
    <x v="4"/>
    <x v="2"/>
    <s v="سرير كيفنج ١٢٠ رمادى "/>
    <n v="12999"/>
    <s v="مسبق الدفع"/>
    <d v="2024-09-14T00:00:00"/>
    <d v="2024-09-27T00:00:00"/>
    <d v="2024-10-02T00:00:00"/>
    <n v="13"/>
    <n v="18"/>
    <n v="-5"/>
    <x v="2"/>
    <s v="تم التسليم محمود على "/>
    <x v="0"/>
    <x v="0"/>
  </r>
  <r>
    <s v="على السيد"/>
    <x v="0"/>
    <s v="الشروق القاهره"/>
    <x v="5"/>
    <x v="0"/>
    <x v="0"/>
    <s v="دورين"/>
    <s v="نوفال"/>
    <n v="90"/>
    <s v="أسود"/>
    <x v="1"/>
    <x v="2"/>
    <s v="سرير نوفال  ٩٠ اسود "/>
    <n v="5999"/>
    <s v="مسبق الدفع"/>
    <d v="2024-09-12T00:00:00"/>
    <d v="2024-09-29T00:00:00"/>
    <m/>
    <n v="17"/>
    <n v="0"/>
    <s v="0"/>
    <x v="0"/>
    <m/>
    <x v="4"/>
    <x v="4"/>
  </r>
  <r>
    <s v="هشام بسيونى"/>
    <x v="0"/>
    <s v="حدايق الاهرام"/>
    <x v="0"/>
    <x v="0"/>
    <x v="0"/>
    <s v="دورين"/>
    <s v="كيفنج"/>
    <n v="100"/>
    <s v="أسود"/>
    <x v="1"/>
    <x v="2"/>
    <s v="            ٢ سرير كيفنج ١٠٠ اسود "/>
    <n v="11949"/>
    <n v="10749"/>
    <d v="2024-09-12T00:00:00"/>
    <d v="2024-09-29T00:00:00"/>
    <d v="2024-10-02T00:00:00"/>
    <n v="17"/>
    <n v="20"/>
    <n v="-3"/>
    <x v="2"/>
    <s v="تم التسليم محمود على "/>
    <x v="0"/>
    <x v="0"/>
  </r>
  <r>
    <s v="هشام بسيونى"/>
    <x v="0"/>
    <s v="حدايق الاهرام"/>
    <x v="0"/>
    <x v="0"/>
    <x v="0"/>
    <s v="دورين"/>
    <s v="كيفنج"/>
    <n v="100"/>
    <s v="أسود"/>
    <x v="1"/>
    <x v="2"/>
    <s v="            ٢ سرير كيفنج ١٠٠ اسود "/>
    <n v="11949"/>
    <n v="10749"/>
    <d v="2024-09-12T00:00:00"/>
    <d v="2024-09-29T00:00:00"/>
    <d v="2024-10-02T00:00:00"/>
    <n v="17"/>
    <n v="20"/>
    <n v="-3"/>
    <x v="2"/>
    <s v="تم التسليم محمود على "/>
    <x v="0"/>
    <x v="0"/>
  </r>
  <r>
    <s v="احمد"/>
    <x v="0"/>
    <s v="الشروق"/>
    <x v="5"/>
    <x v="0"/>
    <x v="0"/>
    <s v="ثلاثه ادوار"/>
    <s v="كيفنج"/>
    <n v="80"/>
    <s v="أبيض"/>
    <x v="0"/>
    <x v="2"/>
    <s v="سرير ٣ ادوار ابيض مقاس ٨٠ ابيض "/>
    <n v="16599"/>
    <s v="مسبق الدفع"/>
    <d v="2024-09-13T00:00:00"/>
    <d v="2024-09-30T00:00:00"/>
    <d v="2024-10-03T00:00:00"/>
    <n v="17"/>
    <n v="20"/>
    <n v="-3"/>
    <x v="2"/>
    <s v="تم التسليم محمود على "/>
    <x v="0"/>
    <x v="0"/>
  </r>
  <r>
    <s v="ساره وجيه"/>
    <x v="0"/>
    <s v="الغردقه"/>
    <x v="3"/>
    <x v="0"/>
    <x v="0"/>
    <s v="دورين"/>
    <s v="كيفنج"/>
    <n v="80"/>
    <s v="أبيض"/>
    <x v="0"/>
    <x v="2"/>
    <s v="سرير كيفنج دورين مقاس ٨٠ ابيض "/>
    <n v="10999"/>
    <s v="مسبق الدفع"/>
    <d v="2024-09-13T00:00:00"/>
    <d v="2024-09-30T00:00:00"/>
    <d v="2024-10-16T00:00:00"/>
    <n v="17"/>
    <n v="33"/>
    <n v="-16"/>
    <x v="2"/>
    <s v="تم التسليم عن طريق شركه شحن "/>
    <x v="0"/>
    <x v="0"/>
  </r>
  <r>
    <s v="مها"/>
    <x v="0"/>
    <s v="لافيستا العين السخنه"/>
    <x v="7"/>
    <x v="0"/>
    <x v="0"/>
    <s v="دورين"/>
    <s v="كيفنج"/>
    <n v="140"/>
    <s v="ازرق"/>
    <x v="2"/>
    <x v="2"/>
    <s v="سرير استيل ازرق مقاس ١٤٠"/>
    <n v="13099"/>
    <s v="مسبق الدفع"/>
    <d v="2024-09-13T00:00:00"/>
    <d v="2024-09-30T00:00:00"/>
    <d v="2024-10-03T00:00:00"/>
    <n v="17"/>
    <n v="20"/>
    <n v="-3"/>
    <x v="2"/>
    <s v="تم التسليم عن طريق شركه شحن "/>
    <x v="0"/>
    <x v="0"/>
  </r>
  <r>
    <s v="بسام الشربينى"/>
    <x v="0"/>
    <s v="٦ اكتوبر الجيزه"/>
    <x v="0"/>
    <x v="0"/>
    <x v="0"/>
    <s v="دورين"/>
    <s v="كينج"/>
    <n v="120"/>
    <s v="بنفسجى"/>
    <x v="6"/>
    <x v="2"/>
    <s v="سرير كينج ١٢٠ بنفسجى "/>
    <n v="13849"/>
    <s v="مسبق الدفع"/>
    <d v="2024-09-13T00:00:00"/>
    <d v="2024-09-30T00:00:00"/>
    <d v="2024-10-20T00:00:00"/>
    <n v="17"/>
    <n v="37"/>
    <n v="-20"/>
    <x v="2"/>
    <s v="تم التسليم محمود على "/>
    <x v="0"/>
    <x v="0"/>
  </r>
  <r>
    <s v="هبه عبد الفتاح"/>
    <x v="0"/>
    <s v="القاهره الجديده"/>
    <x v="5"/>
    <x v="0"/>
    <x v="2"/>
    <s v="4*1"/>
    <m/>
    <m/>
    <s v="أسود"/>
    <x v="1"/>
    <x v="3"/>
    <s v="كنبه سرير ٤ حركه "/>
    <n v="21999"/>
    <s v="مسبق الدفع"/>
    <d v="2024-09-13T00:00:00"/>
    <d v="2024-09-30T00:00:00"/>
    <m/>
    <n v="17"/>
    <n v="0"/>
    <s v="0"/>
    <x v="0"/>
    <s v="تم التسليم محمود على "/>
    <x v="0"/>
    <x v="0"/>
  </r>
  <r>
    <s v="اسراء ابراهيم"/>
    <x v="0"/>
    <s v="٦ اكتوبر الجيزه"/>
    <x v="0"/>
    <x v="0"/>
    <x v="0"/>
    <s v="دورين"/>
    <s v="كيفنج"/>
    <n v="80"/>
    <s v="أبيض"/>
    <x v="0"/>
    <x v="2"/>
    <s v="سرير كيفنج دورين مقاس ٨٠ ابيض "/>
    <n v="10999"/>
    <s v="مسبق الدفع"/>
    <d v="2024-09-13T00:00:00"/>
    <d v="2024-09-30T00:00:00"/>
    <d v="2024-10-15T00:00:00"/>
    <n v="17"/>
    <n v="32"/>
    <n v="-15"/>
    <x v="2"/>
    <s v="تم التسليم محمود على "/>
    <x v="0"/>
    <x v="0"/>
  </r>
  <r>
    <s v="طارق كمال"/>
    <x v="0"/>
    <s v="المعادى"/>
    <x v="5"/>
    <x v="0"/>
    <x v="0"/>
    <s v="ثلاثه ادوار"/>
    <s v="كيفنج"/>
    <n v="90"/>
    <s v="أسود"/>
    <x v="1"/>
    <x v="2"/>
    <s v="سرير ٣ ادوار اسود مقاس ٩٠ "/>
    <n v="17249"/>
    <s v="مسبق الدفع"/>
    <d v="2024-09-13T00:00:00"/>
    <d v="2024-09-30T00:00:00"/>
    <d v="2024-10-04T00:00:00"/>
    <n v="17"/>
    <n v="21"/>
    <n v="-4"/>
    <x v="2"/>
    <s v="تم التسليم محمود على "/>
    <x v="0"/>
    <x v="0"/>
  </r>
  <r>
    <s v="ديفد بهجت"/>
    <x v="0"/>
    <s v="فيصل الجيزه"/>
    <x v="0"/>
    <x v="0"/>
    <x v="1"/>
    <s v="2 ميكانزم"/>
    <m/>
    <m/>
    <s v=""/>
    <x v="3"/>
    <x v="2"/>
    <s v="تربيزه قهوه ٢ رافع"/>
    <n v="8349"/>
    <s v="مسبق الدفع"/>
    <d v="2024-09-14T00:00:00"/>
    <d v="2024-10-16T00:00:00"/>
    <d v="2024-10-21T00:00:00"/>
    <n v="32"/>
    <n v="37"/>
    <n v="-5"/>
    <x v="2"/>
    <s v="تم التسليم محمود على "/>
    <x v="0"/>
    <x v="0"/>
  </r>
  <r>
    <s v="اياد"/>
    <x v="0"/>
    <s v="المقطم"/>
    <x v="5"/>
    <x v="0"/>
    <x v="1"/>
    <s v="بمكتبة"/>
    <m/>
    <m/>
    <s v=""/>
    <x v="3"/>
    <x v="2"/>
    <s v="ترابيزه قهوه متحركه "/>
    <n v="7849"/>
    <s v="مسبق الدفع"/>
    <d v="2024-09-14T00:00:00"/>
    <d v="2024-10-29T00:00:00"/>
    <d v="2024-10-30T00:00:00"/>
    <n v="45"/>
    <n v="46"/>
    <n v="-1"/>
    <x v="2"/>
    <s v="تم التسليم محمود على "/>
    <x v="0"/>
    <x v="0"/>
  </r>
  <r>
    <s v="ميار خورشد"/>
    <x v="0"/>
    <s v="٦ اكتوبر الجيزه"/>
    <x v="0"/>
    <x v="0"/>
    <x v="0"/>
    <s v="منطبق"/>
    <m/>
    <m/>
    <s v="أسود"/>
    <x v="1"/>
    <x v="1"/>
    <s v="سرير منطبق اسود حديد ومعدن "/>
    <n v="9399"/>
    <s v="مسبق الدفع "/>
    <d v="2024-09-14T00:00:00"/>
    <d v="2024-10-29T00:00:00"/>
    <d v="2024-10-15T00:00:00"/>
    <n v="45"/>
    <n v="31"/>
    <n v="14"/>
    <x v="1"/>
    <s v="تم التسليم محمود على "/>
    <x v="0"/>
    <x v="0"/>
  </r>
  <r>
    <s v="عبد الله سيد"/>
    <x v="0"/>
    <s v="الشيخ زايد ٦ اكتوبر"/>
    <x v="0"/>
    <x v="0"/>
    <x v="0"/>
    <s v="فردى"/>
    <s v="اسبانى"/>
    <n v="140"/>
    <s v="أسود"/>
    <x v="1"/>
    <x v="2"/>
    <s v="سرير اسبانى  ١٤٠ اسود وبيج "/>
    <n v="11817"/>
    <s v="مسبق الدفع "/>
    <d v="2024-09-14T00:00:00"/>
    <d v="2024-10-29T00:00:00"/>
    <d v="2024-10-15T00:00:00"/>
    <n v="45"/>
    <n v="31"/>
    <n v="14"/>
    <x v="1"/>
    <s v="تم التسليم محمود على "/>
    <x v="0"/>
    <x v="0"/>
  </r>
  <r>
    <s v="كينج سونا"/>
    <x v="0"/>
    <s v="الشروق"/>
    <x v="5"/>
    <x v="0"/>
    <x v="1"/>
    <s v="رف سحاب"/>
    <m/>
    <m/>
    <s v=""/>
    <x v="3"/>
    <x v="2"/>
    <s v="تربيزه قهوه مرتفعه برف سحاب "/>
    <n v="8349"/>
    <s v="مسبق الدفع "/>
    <d v="2024-09-14T00:00:00"/>
    <d v="2024-10-29T00:00:00"/>
    <d v="2024-10-19T00:00:00"/>
    <n v="45"/>
    <n v="35"/>
    <n v="10"/>
    <x v="1"/>
    <s v="تم التسليم محمود على "/>
    <x v="0"/>
    <x v="0"/>
  </r>
  <r>
    <s v="احمد خالد"/>
    <x v="0"/>
    <s v="الرحاب"/>
    <x v="5"/>
    <x v="0"/>
    <x v="0"/>
    <s v="فردى"/>
    <s v="فورجينا"/>
    <n v="120"/>
    <s v="أبيض"/>
    <x v="0"/>
    <x v="2"/>
    <s v=" ٢. سرير فورجينا ابيض مقاس ١٢٠"/>
    <n v="17886"/>
    <s v="مسبق الدفع "/>
    <d v="2024-09-14T00:00:00"/>
    <d v="2024-10-29T00:00:00"/>
    <m/>
    <n v="45"/>
    <n v="0"/>
    <s v="0"/>
    <x v="0"/>
    <m/>
    <x v="2"/>
    <x v="2"/>
  </r>
  <r>
    <s v="احمد خالد"/>
    <x v="0"/>
    <s v="الرحاب"/>
    <x v="5"/>
    <x v="0"/>
    <x v="0"/>
    <s v="فردى"/>
    <s v="فورجينا"/>
    <n v="120"/>
    <s v="أبيض"/>
    <x v="0"/>
    <x v="2"/>
    <s v=" ٢. سرير فورجينا ابيض مقاس ١٢٠"/>
    <n v="17886"/>
    <s v="مسبق الدفع "/>
    <d v="2024-09-14T00:00:00"/>
    <d v="2024-10-29T00:00:00"/>
    <m/>
    <n v="45"/>
    <n v="0"/>
    <s v="0"/>
    <x v="0"/>
    <m/>
    <x v="2"/>
    <x v="2"/>
  </r>
  <r>
    <s v="ساره"/>
    <x v="0"/>
    <s v="القاهره الجديده"/>
    <x v="5"/>
    <x v="0"/>
    <x v="0"/>
    <s v="فردى"/>
    <s v="اسبانى"/>
    <n v="120"/>
    <s v="أبيض"/>
    <x v="0"/>
    <x v="2"/>
    <s v="   ٢. سرير اسبانى ابيض ١٢٠"/>
    <n v="10987"/>
    <s v="مسبق الدفع"/>
    <d v="2024-09-14T00:00:00"/>
    <d v="2024-10-29T00:00:00"/>
    <d v="2024-10-13T00:00:00"/>
    <n v="45"/>
    <n v="29"/>
    <n v="16"/>
    <x v="1"/>
    <s v="تم التسليم محمود على "/>
    <x v="0"/>
    <x v="0"/>
  </r>
  <r>
    <s v="ساره"/>
    <x v="0"/>
    <s v="القاهره الجديده"/>
    <x v="5"/>
    <x v="0"/>
    <x v="0"/>
    <s v="فردى"/>
    <s v="اسبانى"/>
    <n v="120"/>
    <s v="أبيض"/>
    <x v="0"/>
    <x v="2"/>
    <s v="   ٢. سرير اسبانى ابيض ١٢٠"/>
    <n v="10987"/>
    <s v="مسبق الدفع"/>
    <d v="2024-09-14T00:00:00"/>
    <d v="2024-10-29T00:00:00"/>
    <d v="2024-10-13T00:00:00"/>
    <n v="45"/>
    <n v="29"/>
    <n v="16"/>
    <x v="1"/>
    <s v="تم التسليم محمود على "/>
    <x v="0"/>
    <x v="0"/>
  </r>
  <r>
    <s v="احمد ايمن"/>
    <x v="0"/>
    <s v="العبور"/>
    <x v="6"/>
    <x v="0"/>
    <x v="1"/>
    <s v="2 ميكانزم"/>
    <m/>
    <m/>
    <s v=""/>
    <x v="3"/>
    <x v="2"/>
    <s v="ترابيزه قهوه علويه جديده "/>
    <n v="10319"/>
    <s v="مسبق الدفع"/>
    <d v="2024-09-14T00:00:00"/>
    <d v="2024-10-29T00:00:00"/>
    <d v="2024-10-19T00:00:00"/>
    <n v="45"/>
    <n v="35"/>
    <n v="10"/>
    <x v="1"/>
    <s v="تم التسليم محمود على "/>
    <x v="0"/>
    <x v="0"/>
  </r>
  <r>
    <s v="مصطفي غنيم"/>
    <x v="0"/>
    <s v="اسيوط"/>
    <x v="8"/>
    <x v="0"/>
    <x v="0"/>
    <s v="دورين"/>
    <s v="كيفنج"/>
    <n v="120"/>
    <s v="رمادى"/>
    <x v="4"/>
    <x v="2"/>
    <s v="سرير كيفنج دورين مقاس ١٢٠ رمادى "/>
    <n v="12999"/>
    <s v="مسبق الدفع "/>
    <d v="2024-09-14T00:00:00"/>
    <d v="2024-11-20T00:00:00"/>
    <d v="2024-10-17T00:00:00"/>
    <n v="67"/>
    <n v="33"/>
    <n v="34"/>
    <x v="1"/>
    <s v="تم التسليم عن طريق شركه شحن "/>
    <x v="0"/>
    <x v="0"/>
  </r>
  <r>
    <s v="حسام عبدون"/>
    <x v="0"/>
    <s v="الغردقه"/>
    <x v="3"/>
    <x v="0"/>
    <x v="2"/>
    <s v="4*1"/>
    <m/>
    <m/>
    <s v="أسود"/>
    <x v="1"/>
    <x v="3"/>
    <s v="كنبه سرير ٤ حركه "/>
    <n v="21999"/>
    <s v="مسبق الدفع"/>
    <d v="2024-09-14T00:00:00"/>
    <d v="2024-11-20T00:00:00"/>
    <m/>
    <n v="67"/>
    <n v="0"/>
    <s v="0"/>
    <x v="0"/>
    <m/>
    <x v="2"/>
    <x v="2"/>
  </r>
  <r>
    <s v="رامى"/>
    <x v="0"/>
    <s v="الشروق"/>
    <x v="5"/>
    <x v="0"/>
    <x v="0"/>
    <s v="دورين"/>
    <s v="نوفال"/>
    <n v="100"/>
    <s v="رمادى"/>
    <x v="4"/>
    <x v="2"/>
    <s v="سرير نوفال ١٠٠ رمادى "/>
    <n v="12399"/>
    <s v="مسبق الدفع"/>
    <d v="2024-09-14T00:00:00"/>
    <d v="2024-11-20T00:00:00"/>
    <d v="2024-10-01T00:00:00"/>
    <n v="67"/>
    <n v="17"/>
    <n v="50"/>
    <x v="1"/>
    <s v="تم التسليم عن طريق شركه شحن "/>
    <x v="0"/>
    <x v="0"/>
  </r>
  <r>
    <s v="رحاب"/>
    <x v="0"/>
    <s v="القاهره الجديده"/>
    <x v="5"/>
    <x v="0"/>
    <x v="2"/>
    <s v="4*1"/>
    <m/>
    <m/>
    <s v="أسود"/>
    <x v="1"/>
    <x v="3"/>
    <s v="كنبه سرير ٤ حركه "/>
    <n v="21999"/>
    <s v="مسبق الدفع"/>
    <d v="2024-09-14T00:00:00"/>
    <d v="2024-11-20T00:00:00"/>
    <d v="2024-10-09T00:00:00"/>
    <n v="67"/>
    <n v="25"/>
    <n v="42"/>
    <x v="1"/>
    <s v="تم التسليم محمود على "/>
    <x v="5"/>
    <x v="0"/>
  </r>
  <r>
    <s v="فؤاد المنسي"/>
    <x v="0"/>
    <s v="المقطم"/>
    <x v="5"/>
    <x v="0"/>
    <x v="0"/>
    <s v="دورين"/>
    <s v="نوفال"/>
    <n v="80"/>
    <s v="أبيض"/>
    <x v="0"/>
    <x v="2"/>
    <s v="سرير نوفال مقاس ٨٠ ابيض "/>
    <n v="10999"/>
    <s v="مسبق الدفع "/>
    <d v="2024-09-14T00:00:00"/>
    <d v="2024-11-20T00:00:00"/>
    <d v="2024-10-16T00:00:00"/>
    <n v="67"/>
    <n v="32"/>
    <n v="35"/>
    <x v="1"/>
    <s v="تم التسليم محمود على "/>
    <x v="5"/>
    <x v="0"/>
  </r>
  <r>
    <s v="mohannad"/>
    <x v="0"/>
    <s v="EL-Maadi"/>
    <x v="5"/>
    <x v="0"/>
    <x v="0"/>
    <s v="دورين"/>
    <s v="كيفنج"/>
    <n v="80"/>
    <s v="أبيض"/>
    <x v="0"/>
    <x v="2"/>
    <m/>
    <n v="10999"/>
    <s v="مسبق الدفع "/>
    <d v="2024-09-15T00:00:00"/>
    <d v="2024-11-20T00:00:00"/>
    <d v="2024-10-16T00:00:00"/>
    <n v="66"/>
    <n v="31"/>
    <n v="35"/>
    <x v="1"/>
    <s v="تم التسليم محمود على "/>
    <x v="5"/>
    <x v="0"/>
  </r>
  <r>
    <s v="mohannad"/>
    <x v="0"/>
    <s v="EL-Maadi"/>
    <x v="5"/>
    <x v="0"/>
    <x v="0"/>
    <s v="دورين"/>
    <s v="كيفنج"/>
    <n v="80"/>
    <s v="أبيض"/>
    <x v="0"/>
    <x v="2"/>
    <m/>
    <n v="10999"/>
    <s v="مسبق الدفع "/>
    <d v="2024-09-15T00:00:00"/>
    <d v="2024-11-20T00:00:00"/>
    <d v="2024-10-16T00:00:00"/>
    <n v="66"/>
    <n v="31"/>
    <n v="35"/>
    <x v="1"/>
    <s v="تم التسليم محمود على "/>
    <x v="5"/>
    <x v="0"/>
  </r>
  <r>
    <s v="Mohamed Ayman"/>
    <x v="0"/>
    <s v="Madinet Badr"/>
    <x v="5"/>
    <x v="0"/>
    <x v="2"/>
    <s v="4*1"/>
    <m/>
    <m/>
    <s v="أسود"/>
    <x v="1"/>
    <x v="3"/>
    <m/>
    <n v="21999"/>
    <s v="مسبق الدفع "/>
    <d v="2024-09-15T00:00:00"/>
    <d v="2024-11-20T00:00:00"/>
    <d v="2024-10-19T00:00:00"/>
    <n v="66"/>
    <n v="34"/>
    <n v="32"/>
    <x v="1"/>
    <s v="تم التسليم محمود على "/>
    <x v="5"/>
    <x v="0"/>
  </r>
  <r>
    <s v="اسامه"/>
    <x v="0"/>
    <s v="العين السخنه"/>
    <x v="7"/>
    <x v="0"/>
    <x v="1"/>
    <s v="2 ميكانزم"/>
    <m/>
    <m/>
    <s v=""/>
    <x v="3"/>
    <x v="2"/>
    <m/>
    <n v="7849"/>
    <n v="6306"/>
    <d v="2024-09-16T00:00:00"/>
    <d v="2024-10-30T00:00:00"/>
    <d v="2024-11-14T00:00:00"/>
    <n v="44"/>
    <n v="59"/>
    <n v="-15"/>
    <x v="2"/>
    <s v="تم التسليم عن طريق شركه شحن "/>
    <x v="0"/>
    <x v="0"/>
  </r>
  <r>
    <s v="اوسكار راتن"/>
    <x v="1"/>
    <s v="المخزن ابو الغيط"/>
    <x v="6"/>
    <x v="4"/>
    <x v="0"/>
    <s v="دورين"/>
    <s v="كيفنج"/>
    <n v="80"/>
    <s v="أبيض"/>
    <x v="0"/>
    <x v="2"/>
    <m/>
    <n v="5074"/>
    <s v="حساب شركه"/>
    <d v="2024-09-21T00:00:00"/>
    <d v="2024-10-05T00:00:00"/>
    <d v="2024-10-12T00:00:00"/>
    <n v="14"/>
    <n v="21"/>
    <n v="-7"/>
    <x v="2"/>
    <s v="تم التسليم محمود على "/>
    <x v="5"/>
    <x v="0"/>
  </r>
  <r>
    <s v="تاكى"/>
    <x v="1"/>
    <s v="العباسيه"/>
    <x v="5"/>
    <x v="3"/>
    <x v="0"/>
    <s v="دورين"/>
    <s v="كينج"/>
    <n v="100"/>
    <s v="أسود وبنى"/>
    <x v="7"/>
    <x v="2"/>
    <m/>
    <n v="6250"/>
    <s v="حساب شركه"/>
    <d v="2024-09-23T00:00:00"/>
    <d v="2024-10-08T00:00:00"/>
    <d v="2024-10-17T00:00:00"/>
    <n v="15"/>
    <n v="24"/>
    <n v="-9"/>
    <x v="2"/>
    <s v="تم التسليم محمود على "/>
    <x v="5"/>
    <x v="0"/>
  </r>
  <r>
    <s v="تاكى"/>
    <x v="1"/>
    <s v="العباسيه"/>
    <x v="5"/>
    <x v="3"/>
    <x v="0"/>
    <s v="دورين"/>
    <s v="كينج"/>
    <n v="100"/>
    <s v="أسود وبنى"/>
    <x v="7"/>
    <x v="2"/>
    <m/>
    <n v="6250"/>
    <s v="حساب شركه"/>
    <d v="2024-09-23T00:00:00"/>
    <d v="2024-10-08T00:00:00"/>
    <d v="2024-10-17T00:00:00"/>
    <n v="15"/>
    <n v="24"/>
    <n v="-9"/>
    <x v="2"/>
    <s v="تم التسليم محمود على "/>
    <x v="5"/>
    <x v="0"/>
  </r>
  <r>
    <s v="ولاء بدوى"/>
    <x v="0"/>
    <s v="العباسيه"/>
    <x v="5"/>
    <x v="0"/>
    <x v="0"/>
    <s v="فردى"/>
    <s v="فورجينا"/>
    <n v="120"/>
    <s v="أبيض"/>
    <x v="0"/>
    <x v="2"/>
    <m/>
    <n v="8943"/>
    <n v="9033"/>
    <d v="2024-09-26T00:00:00"/>
    <d v="2024-11-10T00:00:00"/>
    <d v="2024-10-10T00:00:00"/>
    <n v="45"/>
    <n v="14"/>
    <n v="31"/>
    <x v="1"/>
    <s v="تم التسليم محمود على "/>
    <x v="5"/>
    <x v="0"/>
  </r>
  <r>
    <s v="عبد الرحمن يسري"/>
    <x v="0"/>
    <s v="اكتوبر الجيزه"/>
    <x v="0"/>
    <x v="0"/>
    <x v="1"/>
    <s v="رف سحاب"/>
    <m/>
    <m/>
    <s v=""/>
    <x v="3"/>
    <x v="2"/>
    <m/>
    <n v="8349"/>
    <n v="8433"/>
    <d v="2024-09-26T00:00:00"/>
    <d v="2024-11-10T00:00:00"/>
    <m/>
    <n v="45"/>
    <n v="0"/>
    <s v="0"/>
    <x v="0"/>
    <m/>
    <x v="2"/>
    <x v="2"/>
  </r>
  <r>
    <s v="شيك هومز"/>
    <x v="1"/>
    <s v="التجمع"/>
    <x v="5"/>
    <x v="1"/>
    <x v="2"/>
    <s v="4×1"/>
    <m/>
    <m/>
    <s v=""/>
    <x v="3"/>
    <x v="4"/>
    <m/>
    <n v="14950"/>
    <s v="مسبق الدفع"/>
    <d v="2024-09-26T00:00:00"/>
    <d v="2024-10-14T00:00:00"/>
    <d v="2024-10-13T00:00:00"/>
    <n v="18"/>
    <n v="17"/>
    <n v="1"/>
    <x v="1"/>
    <s v="تم التسليم محمود على "/>
    <x v="0"/>
    <x v="0"/>
  </r>
  <r>
    <s v="شيك هومز"/>
    <x v="1"/>
    <m/>
    <x v="4"/>
    <x v="1"/>
    <x v="0"/>
    <s v="دورين"/>
    <s v="كينج"/>
    <n v="100"/>
    <s v="أسود"/>
    <x v="1"/>
    <x v="2"/>
    <m/>
    <n v="9208"/>
    <n v="9608"/>
    <d v="2024-09-26T00:00:00"/>
    <d v="2024-10-14T00:00:00"/>
    <m/>
    <n v="18"/>
    <n v="0"/>
    <s v="0"/>
    <x v="0"/>
    <m/>
    <x v="2"/>
    <x v="2"/>
  </r>
  <r>
    <s v="شيك هومز"/>
    <x v="1"/>
    <m/>
    <x v="4"/>
    <x v="1"/>
    <x v="0"/>
    <s v="فردى"/>
    <s v="اسبانى"/>
    <n v="120"/>
    <s v="أبيض"/>
    <x v="0"/>
    <x v="2"/>
    <m/>
    <n v="7433"/>
    <s v="مسبق الدفع"/>
    <d v="2024-09-29T00:00:00"/>
    <d v="2024-10-20T00:00:00"/>
    <d v="2024-10-21T00:00:00"/>
    <n v="21"/>
    <n v="22"/>
    <n v="-1"/>
    <x v="2"/>
    <s v="تم التسليم محمود على "/>
    <x v="0"/>
    <x v="0"/>
  </r>
  <r>
    <s v="اوسكار راتن"/>
    <x v="1"/>
    <s v="المخزن ابو الغيط"/>
    <x v="6"/>
    <x v="4"/>
    <x v="0"/>
    <s v="فردى"/>
    <s v="فورجينا"/>
    <n v="120"/>
    <s v="أبيض"/>
    <x v="0"/>
    <x v="2"/>
    <m/>
    <n v="4020"/>
    <s v="حساب شركه"/>
    <d v="2024-09-29T00:00:00"/>
    <d v="2024-10-12T00:00:00"/>
    <d v="2024-10-12T00:00:00"/>
    <n v="13"/>
    <n v="13"/>
    <n v="0"/>
    <x v="0"/>
    <s v="تم التسليم محمود على "/>
    <x v="5"/>
    <x v="0"/>
  </r>
  <r>
    <s v="الحج محمد السويس"/>
    <x v="0"/>
    <s v="السويس"/>
    <x v="7"/>
    <x v="5"/>
    <x v="0"/>
    <s v="دورين"/>
    <s v="فانتاستك"/>
    <n v="100"/>
    <s v="ملون"/>
    <x v="8"/>
    <x v="2"/>
    <m/>
    <n v="8544.9054400000005"/>
    <m/>
    <d v="2024-10-01T00:00:00"/>
    <d v="2024-10-09T00:00:00"/>
    <d v="2024-10-09T00:00:00"/>
    <n v="8"/>
    <n v="8"/>
    <n v="0"/>
    <x v="0"/>
    <s v="تم التسليم بمعرفه الحج سيد "/>
    <x v="0"/>
    <x v="0"/>
  </r>
  <r>
    <s v="الحج محمد السويس"/>
    <x v="0"/>
    <s v="السويس"/>
    <x v="7"/>
    <x v="5"/>
    <x v="0"/>
    <s v="منطبق"/>
    <m/>
    <m/>
    <s v="أسود"/>
    <x v="1"/>
    <x v="5"/>
    <m/>
    <n v="4600"/>
    <m/>
    <d v="2024-10-01T00:00:00"/>
    <d v="2024-10-09T00:00:00"/>
    <d v="2024-10-09T00:00:00"/>
    <n v="8"/>
    <n v="8"/>
    <n v="0"/>
    <x v="0"/>
    <s v="تم التسليم بمعرفه الحج سيد "/>
    <x v="0"/>
    <x v="0"/>
  </r>
  <r>
    <s v="الحج محمد السويس"/>
    <x v="0"/>
    <s v="السويس"/>
    <x v="7"/>
    <x v="5"/>
    <x v="2"/>
    <s v="فنيسيا"/>
    <m/>
    <m/>
    <s v="أسود"/>
    <x v="1"/>
    <x v="6"/>
    <m/>
    <n v="10000"/>
    <m/>
    <d v="2024-10-01T00:00:00"/>
    <d v="2024-10-09T00:00:00"/>
    <d v="2024-10-09T00:00:00"/>
    <n v="8"/>
    <n v="8"/>
    <n v="0"/>
    <x v="0"/>
    <s v="تم التسليم بمعرفه الحج سيد "/>
    <x v="0"/>
    <x v="0"/>
  </r>
  <r>
    <s v="الحج محمد السويس"/>
    <x v="0"/>
    <s v="السويس"/>
    <x v="7"/>
    <x v="5"/>
    <x v="5"/>
    <m/>
    <m/>
    <m/>
    <s v="أسود"/>
    <x v="1"/>
    <x v="4"/>
    <m/>
    <n v="10000"/>
    <m/>
    <d v="2024-10-01T00:00:00"/>
    <d v="2024-10-09T00:00:00"/>
    <d v="2024-10-09T00:00:00"/>
    <n v="8"/>
    <n v="8"/>
    <n v="0"/>
    <x v="0"/>
    <s v="تم التسليم بمعرفه الحج سيد "/>
    <x v="0"/>
    <x v="0"/>
  </r>
  <r>
    <s v="عمرو الأسود"/>
    <x v="0"/>
    <s v="الزمالك"/>
    <x v="5"/>
    <x v="0"/>
    <x v="0"/>
    <s v="منطبق"/>
    <m/>
    <m/>
    <s v="أسود"/>
    <x v="1"/>
    <x v="1"/>
    <m/>
    <n v="8899"/>
    <n v="8988"/>
    <d v="2024-10-03T00:00:00"/>
    <d v="2024-11-17T00:00:00"/>
    <m/>
    <n v="45"/>
    <n v="0"/>
    <s v="0"/>
    <x v="0"/>
    <m/>
    <x v="4"/>
    <x v="4"/>
  </r>
  <r>
    <s v="شيك هومز"/>
    <x v="1"/>
    <s v="مخزن شيك هومز"/>
    <x v="9"/>
    <x v="1"/>
    <x v="2"/>
    <s v="4×1"/>
    <m/>
    <m/>
    <s v="أسود"/>
    <x v="1"/>
    <x v="7"/>
    <m/>
    <n v="14550"/>
    <s v="مسبق الدفع"/>
    <d v="2024-10-08T00:00:00"/>
    <d v="2024-10-29T00:00:00"/>
    <d v="2024-10-30T00:00:00"/>
    <n v="21"/>
    <n v="22"/>
    <n v="-1"/>
    <x v="2"/>
    <s v="تم التسليم محمود على "/>
    <x v="0"/>
    <x v="0"/>
  </r>
  <r>
    <s v="شيك هومز"/>
    <x v="1"/>
    <s v="أكتوبر"/>
    <x v="0"/>
    <x v="1"/>
    <x v="2"/>
    <s v="4×1"/>
    <m/>
    <m/>
    <s v="أسود"/>
    <x v="1"/>
    <x v="7"/>
    <m/>
    <n v="14550"/>
    <s v="مسبق الدفع"/>
    <d v="2024-10-07T00:00:00"/>
    <d v="2024-10-29T00:00:00"/>
    <d v="2024-10-15T00:00:00"/>
    <n v="22"/>
    <n v="8"/>
    <n v="14"/>
    <x v="1"/>
    <s v="تم التسليم محمود على "/>
    <x v="0"/>
    <x v="0"/>
  </r>
  <r>
    <s v="شيك هومز"/>
    <x v="1"/>
    <m/>
    <x v="4"/>
    <x v="1"/>
    <x v="2"/>
    <s v="4×1"/>
    <m/>
    <m/>
    <s v="أسود"/>
    <x v="1"/>
    <x v="4"/>
    <m/>
    <n v="14550"/>
    <n v="11495"/>
    <d v="2024-10-10T00:00:00"/>
    <d v="2024-10-31T00:00:00"/>
    <d v="2024-11-02T00:00:00"/>
    <n v="21"/>
    <n v="23"/>
    <n v="-2"/>
    <x v="2"/>
    <s v="تم التسليم محمود على "/>
    <x v="0"/>
    <x v="0"/>
  </r>
  <r>
    <s v="keira"/>
    <x v="0"/>
    <s v="القاهره الجديده"/>
    <x v="5"/>
    <x v="0"/>
    <x v="0"/>
    <s v="دورين"/>
    <s v="نوفال "/>
    <s v="١٤٠/١٠٠"/>
    <s v="بينك"/>
    <x v="9"/>
    <x v="2"/>
    <m/>
    <n v="12899"/>
    <n v="13028"/>
    <d v="2024-10-13T00:00:00"/>
    <d v="2024-12-17T00:00:00"/>
    <d v="2024-11-02T00:00:00"/>
    <n v="65"/>
    <n v="20"/>
    <n v="45"/>
    <x v="1"/>
    <s v="تم التسليم محمود على "/>
    <x v="0"/>
    <x v="0"/>
  </r>
  <r>
    <s v="tarek"/>
    <x v="0"/>
    <s v="مصر الجديده"/>
    <x v="5"/>
    <x v="0"/>
    <x v="0"/>
    <s v="دورين"/>
    <s v="كيفنج"/>
    <n v="80"/>
    <s v="أبيض"/>
    <x v="0"/>
    <x v="2"/>
    <m/>
    <n v="10499"/>
    <s v="مسبق الدفع"/>
    <d v="2024-10-16T00:00:00"/>
    <d v="2024-12-19T00:00:00"/>
    <d v="2024-10-21T00:00:00"/>
    <n v="64"/>
    <n v="5"/>
    <n v="59"/>
    <x v="1"/>
    <s v="تم التسليم محمود على "/>
    <x v="0"/>
    <x v="0"/>
  </r>
  <r>
    <s v="reem"/>
    <x v="0"/>
    <s v="البطاش اسكندريه"/>
    <x v="1"/>
    <x v="0"/>
    <x v="0"/>
    <s v="دورين"/>
    <s v="نوفال"/>
    <s v="١٠٠/١٤٠"/>
    <s v="بينك"/>
    <x v="9"/>
    <x v="2"/>
    <m/>
    <n v="12899"/>
    <s v="مسبق الدفع"/>
    <d v="2024-10-17T00:00:00"/>
    <d v="2024-12-22T00:00:00"/>
    <d v="2024-12-03T00:00:00"/>
    <n v="66"/>
    <n v="47"/>
    <n v="19"/>
    <x v="1"/>
    <s v="تم التسليم عن طريق شركه شحن "/>
    <x v="5"/>
    <x v="0"/>
  </r>
  <r>
    <s v="هشام سامى"/>
    <x v="0"/>
    <s v="41 كومبوند جولدن جستس الدور 4 شقه 4"/>
    <x v="5"/>
    <x v="6"/>
    <x v="0"/>
    <s v="فردى"/>
    <s v="بلحه"/>
    <n v="140"/>
    <s v="نبيتى"/>
    <x v="10"/>
    <x v="8"/>
    <m/>
    <n v="5135"/>
    <s v="مسبق الدفع"/>
    <d v="2024-10-20T00:00:00"/>
    <d v="2024-11-17T00:00:00"/>
    <d v="2024-11-14T00:00:00"/>
    <n v="28"/>
    <n v="25"/>
    <n v="3"/>
    <x v="1"/>
    <s v="تم التسليم محمود على "/>
    <x v="0"/>
    <x v="0"/>
  </r>
  <r>
    <s v="شيك هومز"/>
    <x v="1"/>
    <s v="اكتوبر الجيزه"/>
    <x v="0"/>
    <x v="1"/>
    <x v="0"/>
    <s v="دورين"/>
    <s v="فانتستيك"/>
    <n v="100"/>
    <s v="الوان"/>
    <x v="11"/>
    <x v="2"/>
    <m/>
    <n v="12777.5"/>
    <n v="11277.5"/>
    <d v="2024-10-22T00:00:00"/>
    <d v="2024-11-12T00:00:00"/>
    <d v="2024-11-18T00:00:00"/>
    <n v="21"/>
    <n v="27"/>
    <n v="-6"/>
    <x v="2"/>
    <s v="تم التسليم محمود على "/>
    <x v="0"/>
    <x v="0"/>
  </r>
  <r>
    <s v="شيك هومز"/>
    <x v="1"/>
    <s v="اكتوبر الجيزه"/>
    <x v="0"/>
    <x v="1"/>
    <x v="0"/>
    <s v="دورين"/>
    <s v="فانتستيك"/>
    <n v="100"/>
    <s v="الوان"/>
    <x v="11"/>
    <x v="2"/>
    <m/>
    <n v="12777.5"/>
    <n v="11277.5"/>
    <d v="2024-10-22T00:00:00"/>
    <d v="2024-11-12T00:00:00"/>
    <d v="2024-11-18T00:00:00"/>
    <n v="21"/>
    <n v="27"/>
    <n v="-6"/>
    <x v="2"/>
    <s v="تم التسليم محمود على "/>
    <x v="0"/>
    <x v="0"/>
  </r>
  <r>
    <s v="اوسكار راتن"/>
    <x v="1"/>
    <s v="المعرض مدينه نصر"/>
    <x v="5"/>
    <x v="4"/>
    <x v="0"/>
    <s v="دورين"/>
    <s v="فانتستيك"/>
    <n v="100"/>
    <s v="الوان"/>
    <x v="11"/>
    <x v="2"/>
    <m/>
    <n v="8544.91"/>
    <s v="حساب شركه"/>
    <d v="2024-10-22T00:00:00"/>
    <m/>
    <m/>
    <n v="0"/>
    <n v="0"/>
    <s v="0"/>
    <x v="0"/>
    <m/>
    <x v="6"/>
    <x v="5"/>
  </r>
  <r>
    <s v="فاطمه محمد"/>
    <x v="0"/>
    <s v="أكتوبر الجيزه"/>
    <x v="0"/>
    <x v="0"/>
    <x v="0"/>
    <s v="فردى"/>
    <s v="فورجينا"/>
    <n v="120"/>
    <s v="أبيض"/>
    <x v="0"/>
    <x v="2"/>
    <m/>
    <n v="8943"/>
    <n v="9007.01"/>
    <d v="2024-10-21T00:00:00"/>
    <d v="2024-11-14T00:00:00"/>
    <d v="2024-11-18T00:00:00"/>
    <n v="24"/>
    <n v="28"/>
    <n v="-4"/>
    <x v="2"/>
    <s v="تم التسليم محمود على "/>
    <x v="0"/>
    <x v="0"/>
  </r>
  <r>
    <s v="شيك هومز"/>
    <x v="1"/>
    <m/>
    <x v="4"/>
    <x v="1"/>
    <x v="2"/>
    <s v="4×1"/>
    <m/>
    <m/>
    <s v="أسود"/>
    <x v="1"/>
    <x v="2"/>
    <m/>
    <n v="15516"/>
    <s v="مسبق الدفع"/>
    <d v="2024-10-24T00:00:00"/>
    <d v="2024-11-14T00:00:00"/>
    <d v="2024-10-30T00:00:00"/>
    <n v="21"/>
    <n v="6"/>
    <n v="15"/>
    <x v="1"/>
    <s v="تم التسليم محمود على "/>
    <x v="0"/>
    <x v="0"/>
  </r>
  <r>
    <s v="شيك هومز"/>
    <x v="1"/>
    <m/>
    <x v="4"/>
    <x v="1"/>
    <x v="0"/>
    <s v="دورين"/>
    <s v="كينج"/>
    <n v="100"/>
    <s v="أسود"/>
    <x v="1"/>
    <x v="2"/>
    <m/>
    <n v="10045"/>
    <n v="8879"/>
    <d v="2024-10-26T00:00:00"/>
    <d v="2024-11-16T00:00:00"/>
    <m/>
    <n v="21"/>
    <n v="0"/>
    <s v="0"/>
    <x v="0"/>
    <m/>
    <x v="2"/>
    <x v="2"/>
  </r>
  <r>
    <s v="ساره"/>
    <x v="0"/>
    <s v="الشيخ زايد اكتوبر"/>
    <x v="0"/>
    <x v="0"/>
    <x v="0"/>
    <s v="دورين"/>
    <s v="كينج"/>
    <n v="90"/>
    <s v="أسود"/>
    <x v="1"/>
    <x v="2"/>
    <m/>
    <n v="11649"/>
    <n v="11749"/>
    <d v="2024-10-26T00:00:00"/>
    <d v="2024-11-10T00:00:00"/>
    <d v="2024-11-18T00:00:00"/>
    <n v="15"/>
    <n v="23"/>
    <n v="-8"/>
    <x v="2"/>
    <s v="تم التسليم محمود على "/>
    <x v="0"/>
    <x v="0"/>
  </r>
  <r>
    <s v="ساره"/>
    <x v="0"/>
    <s v="الشيخ زايد اكتوبر"/>
    <x v="0"/>
    <x v="0"/>
    <x v="0"/>
    <s v="دورين"/>
    <s v="كينج"/>
    <n v="90"/>
    <s v="أسود"/>
    <x v="1"/>
    <x v="2"/>
    <m/>
    <n v="11649"/>
    <n v="11749"/>
    <d v="2024-10-26T00:00:00"/>
    <d v="2024-11-10T00:00:00"/>
    <d v="2024-11-18T00:00:00"/>
    <n v="15"/>
    <n v="23"/>
    <n v="-8"/>
    <x v="2"/>
    <s v="تم التسليم محمود على "/>
    <x v="0"/>
    <x v="0"/>
  </r>
  <r>
    <s v="بولا هومزمارت"/>
    <x v="0"/>
    <s v="المعادى"/>
    <x v="5"/>
    <x v="0"/>
    <x v="0"/>
    <s v="فردى"/>
    <s v="اسبانى"/>
    <n v="100"/>
    <s v="أبيض"/>
    <x v="0"/>
    <x v="2"/>
    <m/>
    <n v="5100"/>
    <n v="4800"/>
    <d v="2024-10-28T00:00:00"/>
    <d v="2024-11-11T00:00:00"/>
    <d v="2024-11-21T00:00:00"/>
    <n v="14"/>
    <n v="24"/>
    <n v="-10"/>
    <x v="2"/>
    <s v="تم التسليم محمود على "/>
    <x v="0"/>
    <x v="0"/>
  </r>
  <r>
    <s v="بولا هومزمارت"/>
    <x v="0"/>
    <s v="المعادى"/>
    <x v="5"/>
    <x v="0"/>
    <x v="0"/>
    <s v="فردى"/>
    <s v="اسبانى"/>
    <n v="120"/>
    <s v="أبيض"/>
    <x v="0"/>
    <x v="2"/>
    <m/>
    <n v="5300"/>
    <n v="4800"/>
    <d v="2024-10-28T00:00:00"/>
    <d v="2024-11-11T00:00:00"/>
    <d v="2024-11-21T00:00:00"/>
    <n v="14"/>
    <n v="24"/>
    <n v="-10"/>
    <x v="2"/>
    <s v="تم التسليم محمود على "/>
    <x v="0"/>
    <x v="0"/>
  </r>
  <r>
    <s v="محمد شكرى"/>
    <x v="0"/>
    <s v="مدينتى"/>
    <x v="5"/>
    <x v="0"/>
    <x v="0"/>
    <s v="دورين"/>
    <s v="كيفنج"/>
    <n v="80"/>
    <s v="أبيض"/>
    <x v="0"/>
    <x v="2"/>
    <m/>
    <n v="12099"/>
    <s v="مسبق الدفع"/>
    <d v="2024-11-11T00:00:00"/>
    <d v="2024-11-26T00:00:00"/>
    <d v="2024-11-27T00:00:00"/>
    <n v="15"/>
    <n v="16"/>
    <n v="-1"/>
    <x v="2"/>
    <s v="تم التسليم محمود على "/>
    <x v="0"/>
    <x v="0"/>
  </r>
  <r>
    <s v="شيك هومز"/>
    <x v="1"/>
    <s v="مخزن شيك هومز"/>
    <x v="9"/>
    <x v="1"/>
    <x v="2"/>
    <s v="4×1"/>
    <s v="ارينا"/>
    <m/>
    <s v="أسود"/>
    <x v="1"/>
    <x v="7"/>
    <m/>
    <n v="15872"/>
    <s v="مسبق الدفع"/>
    <d v="2024-11-08T00:00:00"/>
    <d v="2024-12-03T00:00:00"/>
    <d v="2024-11-14T00:00:00"/>
    <n v="25"/>
    <n v="6"/>
    <n v="19"/>
    <x v="1"/>
    <s v="تم التسليم محمود على "/>
    <x v="0"/>
    <x v="0"/>
  </r>
  <r>
    <s v="منزلى"/>
    <x v="0"/>
    <s v="التجمع الخامس"/>
    <x v="5"/>
    <x v="6"/>
    <x v="0"/>
    <s v="فردى"/>
    <s v="فورجينا"/>
    <n v="120"/>
    <s v="أبيض"/>
    <x v="0"/>
    <x v="2"/>
    <m/>
    <n v="4520"/>
    <s v="حساب شركه"/>
    <d v="2024-11-10T00:00:00"/>
    <d v="2024-11-22T00:00:00"/>
    <d v="2024-11-21T00:00:00"/>
    <n v="12"/>
    <n v="11"/>
    <n v="1"/>
    <x v="1"/>
    <s v="تم التسليم محمود على "/>
    <x v="0"/>
    <x v="0"/>
  </r>
  <r>
    <s v="اوسكار راتن"/>
    <x v="1"/>
    <s v="المخزن ابو الغيط"/>
    <x v="6"/>
    <x v="4"/>
    <x v="0"/>
    <s v="دورين"/>
    <s v="كينج"/>
    <n v="90"/>
    <s v="أسود"/>
    <x v="1"/>
    <x v="2"/>
    <m/>
    <n v="5766"/>
    <s v="حساب شركه"/>
    <d v="2024-11-12T00:00:00"/>
    <d v="2024-11-26T00:00:00"/>
    <d v="2024-11-25T00:00:00"/>
    <n v="14"/>
    <n v="13"/>
    <n v="1"/>
    <x v="1"/>
    <s v="تم التسليم محمود على "/>
    <x v="0"/>
    <x v="0"/>
  </r>
  <r>
    <s v="حماده"/>
    <x v="0"/>
    <s v="المعادى"/>
    <x v="5"/>
    <x v="0"/>
    <x v="0"/>
    <s v="فردى"/>
    <s v="فورجينا"/>
    <n v="160"/>
    <s v="بنفسجى"/>
    <x v="6"/>
    <x v="2"/>
    <m/>
    <n v="11395"/>
    <s v="مسبق الدفع"/>
    <d v="2024-11-12T00:00:00"/>
    <d v="2024-11-24T00:00:00"/>
    <d v="2024-11-27T00:00:00"/>
    <n v="12"/>
    <n v="15"/>
    <n v="-3"/>
    <x v="2"/>
    <s v="تم التسليم محمود على "/>
    <x v="0"/>
    <x v="0"/>
  </r>
  <r>
    <s v="صفاء عبد الباقي"/>
    <x v="0"/>
    <s v="التجمع الخامس"/>
    <x v="5"/>
    <x v="0"/>
    <x v="0"/>
    <s v="دورين"/>
    <s v="كينج "/>
    <n v="80"/>
    <s v="أبيض"/>
    <x v="0"/>
    <x v="2"/>
    <m/>
    <n v="12919"/>
    <s v="مسبق الدفع"/>
    <d v="2024-11-14T00:00:00"/>
    <d v="2024-11-30T00:00:00"/>
    <d v="2024-11-27T00:00:00"/>
    <n v="16"/>
    <n v="13"/>
    <n v="3"/>
    <x v="1"/>
    <s v="تم التسليم محمود على "/>
    <x v="0"/>
    <x v="0"/>
  </r>
  <r>
    <s v="اوسكار راتن"/>
    <x v="1"/>
    <s v="المخزن ابو الغيط"/>
    <x v="6"/>
    <x v="4"/>
    <x v="0"/>
    <s v="دورين"/>
    <s v="نوفال"/>
    <n v="120"/>
    <s v="رمادى"/>
    <x v="4"/>
    <x v="2"/>
    <m/>
    <n v="6376"/>
    <s v="حساب شركه"/>
    <d v="2024-11-14T00:00:00"/>
    <d v="2024-11-27T00:00:00"/>
    <d v="2024-11-25T00:00:00"/>
    <n v="13"/>
    <n v="11"/>
    <n v="2"/>
    <x v="1"/>
    <s v="تم التسليم محمود على "/>
    <x v="0"/>
    <x v="0"/>
  </r>
  <r>
    <s v="اوسكار راتن"/>
    <x v="1"/>
    <s v="المخزن"/>
    <x v="9"/>
    <x v="4"/>
    <x v="0"/>
    <s v="دورين "/>
    <s v="نوفال"/>
    <n v="90"/>
    <s v="أسود"/>
    <x v="1"/>
    <x v="2"/>
    <m/>
    <n v="5294"/>
    <s v="حساب شركه"/>
    <d v="2024-11-14T00:00:00"/>
    <d v="2024-11-27T00:00:00"/>
    <d v="2024-11-25T00:00:00"/>
    <n v="13"/>
    <n v="11"/>
    <n v="2"/>
    <x v="1"/>
    <s v="تم التسليم محمود على "/>
    <x v="0"/>
    <x v="0"/>
  </r>
  <r>
    <s v="رندا العامرى"/>
    <x v="0"/>
    <s v="٦ اكتوبر الجيزه"/>
    <x v="0"/>
    <x v="7"/>
    <x v="0"/>
    <s v="دورين "/>
    <s v="كيفنج "/>
    <n v="80"/>
    <s v="أبيض"/>
    <x v="0"/>
    <x v="2"/>
    <m/>
    <n v="7396"/>
    <s v="مسبق الدفع"/>
    <d v="2024-11-17T00:00:00"/>
    <d v="2024-11-28T00:00:00"/>
    <d v="2024-11-26T00:00:00"/>
    <n v="11"/>
    <n v="9"/>
    <n v="2"/>
    <x v="1"/>
    <s v="تم التسليم محمود على "/>
    <x v="0"/>
    <x v="0"/>
  </r>
  <r>
    <s v="ساره"/>
    <x v="0"/>
    <s v="٦ اكتوبر الجيزه"/>
    <x v="0"/>
    <x v="0"/>
    <x v="0"/>
    <s v="دورين"/>
    <s v="كينج"/>
    <n v="90"/>
    <s v="أسود"/>
    <x v="1"/>
    <x v="2"/>
    <m/>
    <n v="13439"/>
    <n v="13575"/>
    <d v="2024-11-20T00:00:00"/>
    <d v="2024-12-05T00:00:00"/>
    <d v="2024-11-26T00:00:00"/>
    <n v="15"/>
    <n v="6"/>
    <n v="9"/>
    <x v="1"/>
    <s v="تم التسليم محمود على "/>
    <x v="0"/>
    <x v="0"/>
  </r>
  <r>
    <s v="تاكى"/>
    <x v="1"/>
    <s v="العباسيه"/>
    <x v="5"/>
    <x v="3"/>
    <x v="0"/>
    <s v="فردى "/>
    <s v="امريكى"/>
    <n v="160"/>
    <s v="أسود"/>
    <x v="1"/>
    <x v="2"/>
    <m/>
    <n v="5100"/>
    <s v="حساب شركه"/>
    <d v="2024-11-14T00:00:00"/>
    <d v="2024-12-08T00:00:00"/>
    <m/>
    <n v="24"/>
    <n v="0"/>
    <s v="0"/>
    <x v="0"/>
    <m/>
    <x v="4"/>
    <x v="4"/>
  </r>
  <r>
    <s v="محمد حمدى"/>
    <x v="0"/>
    <s v="مصر الجديده"/>
    <x v="5"/>
    <x v="2"/>
    <x v="0"/>
    <s v="فردى"/>
    <s v="كوين "/>
    <n v="160"/>
    <s v="دهبي"/>
    <x v="5"/>
    <x v="0"/>
    <m/>
    <n v="6000"/>
    <n v="5800"/>
    <d v="2024-11-22T00:00:00"/>
    <d v="2024-12-02T00:00:00"/>
    <d v="2024-11-27T00:00:00"/>
    <n v="10"/>
    <n v="5"/>
    <n v="5"/>
    <x v="1"/>
    <s v="تم التسليم محمود على "/>
    <x v="0"/>
    <x v="0"/>
  </r>
  <r>
    <s v="بافلى هانى"/>
    <x v="0"/>
    <s v="شبرا"/>
    <x v="5"/>
    <x v="0"/>
    <x v="0"/>
    <s v="فردى "/>
    <s v="اسبانى "/>
    <n v="120"/>
    <s v="رمادى"/>
    <x v="4"/>
    <x v="2"/>
    <m/>
    <n v="10885"/>
    <n v="7965"/>
    <d v="2024-11-24T00:00:00"/>
    <d v="2024-12-05T00:00:00"/>
    <d v="2024-12-10T00:00:00"/>
    <n v="11"/>
    <n v="16"/>
    <n v="-5"/>
    <x v="2"/>
    <s v="تم التسليم محمود على "/>
    <x v="0"/>
    <x v="0"/>
  </r>
  <r>
    <s v="تاكى"/>
    <x v="1"/>
    <s v="العباسيه"/>
    <x v="5"/>
    <x v="3"/>
    <x v="2"/>
    <s v="t1"/>
    <s v="t1"/>
    <m/>
    <s v=""/>
    <x v="3"/>
    <x v="2"/>
    <m/>
    <n v="6000"/>
    <n v="6000"/>
    <d v="2024-11-19T00:00:00"/>
    <d v="2024-12-05T00:00:00"/>
    <d v="2024-11-20T00:00:00"/>
    <n v="16"/>
    <n v="1"/>
    <n v="15"/>
    <x v="1"/>
    <s v="تم التسليم م محمد "/>
    <x v="0"/>
    <x v="0"/>
  </r>
  <r>
    <s v="رنا ميلاد"/>
    <x v="0"/>
    <s v="جليم الإسكندرية"/>
    <x v="1"/>
    <x v="0"/>
    <x v="1"/>
    <m/>
    <s v="مكتبه"/>
    <m/>
    <s v=""/>
    <x v="3"/>
    <x v="2"/>
    <m/>
    <n v="8449"/>
    <s v="مسبق الدفع"/>
    <d v="2024-11-27T00:00:00"/>
    <d v="2024-12-10T00:00:00"/>
    <d v="2024-12-23T00:00:00"/>
    <n v="13"/>
    <n v="26"/>
    <n v="-13"/>
    <x v="2"/>
    <s v="تم التسليم عن طريق شركه شحن "/>
    <x v="0"/>
    <x v="0"/>
  </r>
  <r>
    <s v="محمد ناجى"/>
    <x v="0"/>
    <s v="مدينه نصر"/>
    <x v="5"/>
    <x v="0"/>
    <x v="1"/>
    <s v="دوران "/>
    <s v="ميكانزم"/>
    <m/>
    <s v="أبيض"/>
    <x v="0"/>
    <x v="9"/>
    <m/>
    <n v="10249"/>
    <n v="6211"/>
    <d v="2024-11-27T00:00:00"/>
    <d v="2024-12-10T00:00:00"/>
    <d v="2024-12-19T00:00:00"/>
    <n v="13"/>
    <n v="22"/>
    <n v="-9"/>
    <x v="2"/>
    <s v="تم التسليم محمود على "/>
    <x v="0"/>
    <x v="0"/>
  </r>
  <r>
    <s v="احمد عبد الستار"/>
    <x v="0"/>
    <s v="المندره اسكندريه"/>
    <x v="1"/>
    <x v="0"/>
    <x v="0"/>
    <s v="دورين"/>
    <s v="كيفنج"/>
    <n v="100"/>
    <s v="أسود"/>
    <x v="1"/>
    <x v="2"/>
    <m/>
    <n v="14905"/>
    <s v="مسبق الدفع"/>
    <d v="2024-11-29T00:00:00"/>
    <d v="2024-12-15T00:00:00"/>
    <m/>
    <n v="16"/>
    <n v="0"/>
    <s v="0"/>
    <x v="0"/>
    <s v="العميل رفض الاستلام"/>
    <x v="2"/>
    <x v="2"/>
  </r>
  <r>
    <s v="نور"/>
    <x v="0"/>
    <s v="القاهره الجديده"/>
    <x v="5"/>
    <x v="0"/>
    <x v="1"/>
    <s v="دوران "/>
    <s v="ميكانزم"/>
    <m/>
    <s v="أسود"/>
    <x v="1"/>
    <x v="10"/>
    <m/>
    <n v="10249"/>
    <s v="مسبق الدفع"/>
    <d v="2024-11-30T00:00:00"/>
    <d v="2024-12-12T00:00:00"/>
    <m/>
    <n v="12"/>
    <n v="0"/>
    <s v="0"/>
    <x v="0"/>
    <m/>
    <x v="2"/>
    <x v="2"/>
  </r>
  <r>
    <s v="نور"/>
    <x v="0"/>
    <s v="القاهره الجديده"/>
    <x v="5"/>
    <x v="0"/>
    <x v="1"/>
    <s v="رف سحاب"/>
    <m/>
    <m/>
    <s v="أسود"/>
    <x v="1"/>
    <x v="10"/>
    <m/>
    <n v="9029"/>
    <s v="مسبق الدفع"/>
    <d v="2024-11-30T00:00:00"/>
    <d v="2024-12-12T00:00:00"/>
    <m/>
    <n v="12"/>
    <n v="0"/>
    <s v="0"/>
    <x v="0"/>
    <m/>
    <x v="2"/>
    <x v="2"/>
  </r>
  <r>
    <s v="تامر"/>
    <x v="0"/>
    <s v="العين السخنه"/>
    <x v="7"/>
    <x v="0"/>
    <x v="1"/>
    <s v="٢ ميكانزم"/>
    <m/>
    <m/>
    <s v="أسود"/>
    <x v="1"/>
    <x v="5"/>
    <m/>
    <n v="9029"/>
    <s v="مسبق الدفع"/>
    <d v="2024-11-30T00:00:00"/>
    <d v="2024-12-12T00:00:00"/>
    <m/>
    <n v="12"/>
    <n v="0"/>
    <s v="0"/>
    <x v="0"/>
    <m/>
    <x v="4"/>
    <x v="4"/>
  </r>
  <r>
    <s v="هناء اسامه"/>
    <x v="0"/>
    <s v="القطاميه"/>
    <x v="5"/>
    <x v="0"/>
    <x v="0"/>
    <s v="دورين "/>
    <s v="نوفال"/>
    <n v="80"/>
    <s v="أبيض"/>
    <x v="0"/>
    <x v="2"/>
    <m/>
    <n v="12099"/>
    <s v="مسبق الدفع"/>
    <d v="2024-12-02T00:00:00"/>
    <d v="2024-12-17T00:00:00"/>
    <m/>
    <n v="15"/>
    <n v="0"/>
    <s v="0"/>
    <x v="0"/>
    <m/>
    <x v="2"/>
    <x v="2"/>
  </r>
  <r>
    <s v="اوسكار راتن"/>
    <x v="1"/>
    <s v="المخزن ابو الغيط"/>
    <x v="6"/>
    <x v="4"/>
    <x v="0"/>
    <s v="دورين "/>
    <s v="كيفنج "/>
    <n v="90"/>
    <s v="ازرق"/>
    <x v="2"/>
    <x v="2"/>
    <m/>
    <n v="5217"/>
    <s v="حساب شركه"/>
    <d v="2024-12-01T00:00:00"/>
    <d v="2024-12-14T00:00:00"/>
    <d v="2024-12-10T00:00:00"/>
    <n v="13"/>
    <n v="9"/>
    <n v="4"/>
    <x v="1"/>
    <s v="تم التسليم محمود على "/>
    <x v="0"/>
    <x v="0"/>
  </r>
  <r>
    <s v="محمد عادل"/>
    <x v="0"/>
    <s v="العبور"/>
    <x v="6"/>
    <x v="0"/>
    <x v="0"/>
    <s v="منطبق"/>
    <m/>
    <m/>
    <s v="أسود"/>
    <x v="1"/>
    <x v="1"/>
    <m/>
    <n v="10249"/>
    <n v="6211"/>
    <d v="2024-12-04T00:00:00"/>
    <d v="2024-12-14T00:00:00"/>
    <d v="2024-12-19T00:00:00"/>
    <n v="10"/>
    <n v="15"/>
    <n v="-5"/>
    <x v="2"/>
    <s v="تم التسليم محمود على "/>
    <x v="0"/>
    <x v="0"/>
  </r>
  <r>
    <s v="مريم عنان"/>
    <x v="0"/>
    <s v="اب تاون كايرو التجمع"/>
    <x v="5"/>
    <x v="1"/>
    <x v="0"/>
    <s v="دورين"/>
    <s v="كينج"/>
    <m/>
    <s v="أسود"/>
    <x v="1"/>
    <x v="2"/>
    <m/>
    <n v="10445"/>
    <n v="7707"/>
    <d v="2024-12-09T00:00:00"/>
    <d v="2024-12-31T00:00:00"/>
    <d v="2024-12-12T00:00:00"/>
    <n v="22"/>
    <n v="3"/>
    <n v="19"/>
    <x v="1"/>
    <s v="تم التسليم محمود على "/>
    <x v="0"/>
    <x v="0"/>
  </r>
  <r>
    <s v="هبه عطيه"/>
    <x v="0"/>
    <s v="القاهره الجديده"/>
    <x v="5"/>
    <x v="0"/>
    <x v="1"/>
    <s v="دوران"/>
    <s v="ميكانزم"/>
    <m/>
    <s v="أسود"/>
    <x v="1"/>
    <x v="10"/>
    <m/>
    <n v="11199"/>
    <n v="11257"/>
    <d v="2024-12-12T00:00:00"/>
    <d v="2024-12-24T00:00:00"/>
    <d v="2024-12-19T00:00:00"/>
    <n v="12"/>
    <n v="7"/>
    <n v="5"/>
    <x v="1"/>
    <s v="تم التسليم محمود على "/>
    <x v="0"/>
    <x v="0"/>
  </r>
  <r>
    <s v="حمدى ذكرى"/>
    <x v="0"/>
    <s v="٦ اكتوبر الجيزه"/>
    <x v="0"/>
    <x v="0"/>
    <x v="0"/>
    <s v="دورين"/>
    <s v="نوفال"/>
    <n v="80"/>
    <s v="أسود"/>
    <x v="1"/>
    <x v="2"/>
    <m/>
    <n v="13099"/>
    <n v="13231"/>
    <d v="2024-12-12T00:00:00"/>
    <d v="2024-12-28T00:00:00"/>
    <d v="2024-12-29T00:00:00"/>
    <n v="16"/>
    <n v="17"/>
    <n v="-1"/>
    <x v="2"/>
    <s v="تم التسليم محمود على "/>
    <x v="0"/>
    <x v="0"/>
  </r>
  <r>
    <s v="شيك هومز"/>
    <x v="1"/>
    <s v="مخزن شيك هومز"/>
    <x v="9"/>
    <x v="1"/>
    <x v="2"/>
    <s v="4×1"/>
    <s v="ارينا"/>
    <m/>
    <s v="أسود"/>
    <x v="1"/>
    <x v="11"/>
    <m/>
    <n v="8700"/>
    <s v="حساب شركه"/>
    <d v="2024-12-14T00:00:00"/>
    <d v="2025-01-05T00:00:00"/>
    <d v="2024-12-29T00:00:00"/>
    <n v="22"/>
    <n v="15"/>
    <n v="7"/>
    <x v="1"/>
    <s v="تم التسليم محمود على 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C14D8C-D6EE-40CD-88B0-93D9FD818C12}" name="PivotTable12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Y8:AZ11" firstHeaderRow="1" firstDataRow="1" firstDataCol="1"/>
  <pivotFields count="25"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ount of Column3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F8C56E-BB2F-4D55-8594-818EA755D577}" name="PivotTable1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T8:AU18" firstHeaderRow="1" firstDataRow="1" firstDataCol="1"/>
  <pivotFields count="25">
    <pivotField showAll="0"/>
    <pivotField showAll="0"/>
    <pivotField showAll="0"/>
    <pivotField axis="axisRow" showAll="0" sortType="descending">
      <items count="11">
        <item x="8"/>
        <item x="1"/>
        <item x="3"/>
        <item x="0"/>
        <item x="7"/>
        <item x="5"/>
        <item x="6"/>
        <item x="9"/>
        <item x="2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>
      <items count="7">
        <item h="1" x="4"/>
        <item x="0"/>
        <item x="1"/>
        <item x="2"/>
        <item x="3"/>
        <item x="5"/>
        <item t="default"/>
      </items>
    </pivotField>
  </pivotFields>
  <rowFields count="1">
    <field x="3"/>
  </rowFields>
  <rowItems count="10">
    <i>
      <x v="5"/>
    </i>
    <i>
      <x v="3"/>
    </i>
    <i>
      <x v="6"/>
    </i>
    <i>
      <x v="4"/>
    </i>
    <i>
      <x v="1"/>
    </i>
    <i>
      <x v="7"/>
    </i>
    <i>
      <x v="2"/>
    </i>
    <i>
      <x v="8"/>
    </i>
    <i>
      <x/>
    </i>
    <i t="grand">
      <x/>
    </i>
  </rowItems>
  <colItems count="1">
    <i/>
  </colItems>
  <dataFields count="1">
    <dataField name="Count of Column1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DB980A-F19E-49E2-8901-B38900404D2B}" name="PivotTable10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O8:AP14" firstHeaderRow="1" firstDataRow="1" firstDataCol="1"/>
  <pivotFields count="25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>
      <items count="8">
        <item x="0"/>
        <item x="5"/>
        <item x="1"/>
        <item x="2"/>
        <item x="3"/>
        <item x="6"/>
        <item h="1" x="4"/>
        <item t="default"/>
      </items>
    </pivotField>
    <pivotField axis="axisRow" showAll="0" sortType="descending">
      <items count="7">
        <item h="1" x="4"/>
        <item x="0"/>
        <item x="1"/>
        <item x="2"/>
        <item x="3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4"/>
  </rowFields>
  <rowItems count="6">
    <i>
      <x v="1"/>
    </i>
    <i>
      <x v="3"/>
    </i>
    <i>
      <x v="2"/>
    </i>
    <i>
      <x v="5"/>
    </i>
    <i>
      <x v="4"/>
    </i>
    <i t="grand">
      <x/>
    </i>
  </rowItems>
  <colItems count="1">
    <i/>
  </colItems>
  <dataFields count="1">
    <dataField name="Count of Column1" fld="5" subtotal="count" showDataAs="percentOfTotal" baseField="23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A566D1-07E6-44FF-9618-E71648A4E8DD}" name="PivotTable9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J8:AK12" firstHeaderRow="1" firstDataRow="1" firstDataCol="1"/>
  <pivotFields count="25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showAll="0"/>
    <pivotField axis="axisRow" showAll="0">
      <items count="5">
        <item x="2"/>
        <item m="1" x="3"/>
        <item x="1"/>
        <item x="0"/>
        <item t="default"/>
      </items>
    </pivotField>
    <pivotField showAll="0"/>
    <pivotField showAll="0"/>
    <pivotField showAll="0"/>
  </pivotFields>
  <rowFields count="1">
    <field x="21"/>
  </rowFields>
  <rowItems count="4">
    <i>
      <x/>
    </i>
    <i>
      <x v="2"/>
    </i>
    <i>
      <x v="3"/>
    </i>
    <i t="grand">
      <x/>
    </i>
  </rowItems>
  <colItems count="1">
    <i/>
  </colItems>
  <dataFields count="1">
    <dataField name="Count of Column1" fld="5" subtotal="count" showDataAs="percentOfTotal" baseField="21" baseItem="0" numFmtId="9"/>
  </dataFields>
  <formats count="1">
    <format dxfId="1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A5C7E8-1495-4E63-88A3-0CEBBAD7EF43}" name="PivotTable7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E8:AF20" firstHeaderRow="1" firstDataRow="1" firstDataCol="1"/>
  <pivotFields count="25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 sortType="descending">
      <items count="13">
        <item h="1" x="2"/>
        <item x="0"/>
        <item x="9"/>
        <item x="1"/>
        <item x="7"/>
        <item x="10"/>
        <item x="5"/>
        <item x="8"/>
        <item x="6"/>
        <item x="3"/>
        <item x="11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showAll="0"/>
  </pivotFields>
  <rowFields count="1">
    <field x="11"/>
  </rowFields>
  <rowItems count="12">
    <i>
      <x v="9"/>
    </i>
    <i>
      <x v="3"/>
    </i>
    <i>
      <x v="5"/>
    </i>
    <i>
      <x v="11"/>
    </i>
    <i>
      <x v="4"/>
    </i>
    <i>
      <x v="1"/>
    </i>
    <i>
      <x v="6"/>
    </i>
    <i>
      <x v="7"/>
    </i>
    <i>
      <x v="10"/>
    </i>
    <i>
      <x v="8"/>
    </i>
    <i>
      <x v="2"/>
    </i>
    <i t="grand">
      <x/>
    </i>
  </rowItems>
  <colItems count="1">
    <i/>
  </colItems>
  <dataFields count="1">
    <dataField name="Count of Column1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FCF780-585B-4163-8AC6-31AD7200B7B5}" name="PivotTable6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Z8:AA20" firstHeaderRow="1" firstDataRow="1" firstDataCol="1"/>
  <pivotFields count="25"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 sortType="descending">
      <items count="13">
        <item h="1" x="3"/>
        <item x="0"/>
        <item x="2"/>
        <item x="1"/>
        <item x="7"/>
        <item x="11"/>
        <item x="6"/>
        <item x="9"/>
        <item x="5"/>
        <item x="4"/>
        <item x="8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showAll="0"/>
  </pivotFields>
  <rowFields count="1">
    <field x="10"/>
  </rowFields>
  <rowItems count="12">
    <i>
      <x v="3"/>
    </i>
    <i>
      <x v="1"/>
    </i>
    <i>
      <x v="9"/>
    </i>
    <i>
      <x v="2"/>
    </i>
    <i>
      <x v="5"/>
    </i>
    <i>
      <x v="7"/>
    </i>
    <i>
      <x v="8"/>
    </i>
    <i>
      <x v="4"/>
    </i>
    <i>
      <x v="6"/>
    </i>
    <i>
      <x v="11"/>
    </i>
    <i>
      <x v="10"/>
    </i>
    <i t="grand">
      <x/>
    </i>
  </rowItems>
  <colItems count="1">
    <i/>
  </colItems>
  <dataFields count="1">
    <dataField name="Count of Column1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7F9CB2-2EE3-4282-A537-E4787544A1DC}" name="PivotTable4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8:Q15" firstHeaderRow="1" firstDataRow="1" firstDataCol="1"/>
  <pivotFields count="25">
    <pivotField showAll="0"/>
    <pivotField showAll="0"/>
    <pivotField showAll="0"/>
    <pivotField showAll="0"/>
    <pivotField showAll="0"/>
    <pivotField axis="axisRow" showAll="0" sortType="descending">
      <items count="7">
        <item x="1"/>
        <item x="3"/>
        <item x="0"/>
        <item x="5"/>
        <item x="4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showAll="0"/>
  </pivotFields>
  <rowFields count="1">
    <field x="5"/>
  </rowFields>
  <rowItems count="7">
    <i>
      <x v="1"/>
    </i>
    <i>
      <x v="5"/>
    </i>
    <i>
      <x v="3"/>
    </i>
    <i>
      <x v="2"/>
    </i>
    <i>
      <x v="4"/>
    </i>
    <i>
      <x/>
    </i>
    <i t="grand">
      <x/>
    </i>
  </rowItems>
  <colItems count="1">
    <i/>
  </colItems>
  <dataFields count="1">
    <dataField name="Average of سعر البيع " fld="13" subtotal="average" baseField="4" baseItem="0"/>
  </dataFields>
  <formats count="1">
    <format dxfId="56">
      <pivotArea collapsedLevelsAreSubtotals="1" fieldPosition="0">
        <references count="1">
          <reference field="5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181FC4-415C-467B-90FA-41AA1B856110}" name="PivotTable3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8:K9" firstHeaderRow="1" firstDataRow="1" firstDataCol="0"/>
  <pivotFields count="25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أسم العميل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4C3119-C2DC-4940-8ED6-98EE896D9AB4}" name="PivotTable2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8:F9" firstHeaderRow="1" firstDataRow="1" firstDataCol="0"/>
  <pivotFields count="2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سعر البيع " fld="13" baseField="0" baseItem="0" numFmtId="166"/>
  </dataFields>
  <formats count="1">
    <format dxfId="5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4BE80A-DCA8-4BED-9EC5-1945884C3253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:B15" firstHeaderRow="1" firstDataRow="1" firstDataCol="1"/>
  <pivotFields count="25">
    <pivotField showAll="0"/>
    <pivotField showAll="0"/>
    <pivotField showAll="0"/>
    <pivotField showAll="0"/>
    <pivotField showAll="0"/>
    <pivotField axis="axisRow" dataField="1" showAll="0" sortType="descending">
      <items count="7">
        <item x="1"/>
        <item x="3"/>
        <item x="0"/>
        <item x="5"/>
        <item x="4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showAll="0"/>
  </pivotFields>
  <rowFields count="1">
    <field x="5"/>
  </rowFields>
  <rowItems count="7">
    <i>
      <x v="2"/>
    </i>
    <i>
      <x v="5"/>
    </i>
    <i>
      <x/>
    </i>
    <i>
      <x v="4"/>
    </i>
    <i>
      <x v="1"/>
    </i>
    <i>
      <x v="3"/>
    </i>
    <i t="grand">
      <x/>
    </i>
  </rowItems>
  <colItems count="1">
    <i/>
  </colItems>
  <dataFields count="1">
    <dataField name="Count of Column1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6AB31-A780-402B-BE27-B58604B4923E}" name="PivotTable5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8:V17" firstHeaderRow="1" firstDataRow="1" firstDataCol="1"/>
  <pivotFields count="25">
    <pivotField showAll="0"/>
    <pivotField showAll="0"/>
    <pivotField showAll="0"/>
    <pivotField showAll="0"/>
    <pivotField axis="axisRow" showAll="0" sortType="descending">
      <items count="15">
        <item x="5"/>
        <item m="1" x="10"/>
        <item x="3"/>
        <item m="1" x="9"/>
        <item x="1"/>
        <item m="1" x="8"/>
        <item x="2"/>
        <item m="1" x="11"/>
        <item x="6"/>
        <item m="1" x="13"/>
        <item x="0"/>
        <item m="1" x="12"/>
        <item x="4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/>
    <pivotField numFmtId="1" showAll="0"/>
    <pivotField showAll="0"/>
    <pivotField showAll="0"/>
    <pivotField showAll="0"/>
    <pivotField showAll="0"/>
  </pivotFields>
  <rowFields count="1">
    <field x="4"/>
  </rowFields>
  <rowItems count="9">
    <i>
      <x v="10"/>
    </i>
    <i>
      <x v="4"/>
    </i>
    <i>
      <x v="12"/>
    </i>
    <i>
      <x v="2"/>
    </i>
    <i>
      <x/>
    </i>
    <i>
      <x v="6"/>
    </i>
    <i>
      <x v="8"/>
    </i>
    <i>
      <x v="13"/>
    </i>
    <i t="grand">
      <x/>
    </i>
  </rowItems>
  <colItems count="1">
    <i/>
  </colItems>
  <dataFields count="1">
    <dataField name="Count of Column1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798A78-3521-436D-9BC5-851ED3CB5E63}" name="table1" displayName="table1" ref="A1:Y127" totalsRowShown="0" headerRowDxfId="55" headerRowBorderDxfId="54" tableBorderDxfId="53">
  <autoFilter ref="A1:Y127" xr:uid="{D2798A78-3521-436D-9BC5-851ED3CB5E63}"/>
  <tableColumns count="25">
    <tableColumn id="4" xr3:uid="{47BE3B96-D330-4BBC-A2D2-F81C95C9CDF8}" name="أسم العميل"/>
    <tableColumn id="22" xr3:uid="{F15DAF27-78C1-4D92-9202-2C5CF008F705}" name="Column3" dataDxfId="52">
      <calculatedColumnFormula>IF(OR(table1[[#This Row],[أسم العميل]]="تاكى",table1[[#This Row],[أسم العميل]]="أوسكار راتن",table1[[#This Row],[أسم العميل]]="شيك هومز"),"شركات","أفراد")</calculatedColumnFormula>
    </tableColumn>
    <tableColumn id="5" xr3:uid="{8A9922D2-A0CD-402D-B813-D91B1A5543A7}" name="العنوان"/>
    <tableColumn id="1" xr3:uid="{AD1FFE34-51FD-4097-8C5F-4D6F46AC80A7}" name="المدينة" dataDxfId="51"/>
    <tableColumn id="6" xr3:uid="{531866FB-239E-4CF3-9FE1-039571685D15}" name="منصة البيع "/>
    <tableColumn id="7" xr3:uid="{329594CA-08DA-45AC-A7F7-910A5361B134}" name="Column1"/>
    <tableColumn id="8" xr3:uid="{990A4B5E-F656-488D-9380-13FEF9368A58}" name="Column2"/>
    <tableColumn id="9" xr3:uid="{662B455F-E61E-4860-B044-7FE4EA33EB21}" name="الاسم"/>
    <tableColumn id="10" xr3:uid="{345D5343-7CAB-45ED-B313-6D190D457227}" name="المقاس"/>
    <tableColumn id="11" xr3:uid="{5C975D49-D925-40FA-B4F8-11E4DAD95CCE}" name="اللون المعدن"/>
    <tableColumn id="21" xr3:uid="{CC39AD82-2AD2-4EFB-A66D-C409B2735480}" name="لون المعدن2"/>
    <tableColumn id="12" xr3:uid="{31B80E94-009E-4D77-9354-4505E90078A0}" name="لون القماش"/>
    <tableColumn id="13" xr3:uid="{D1430ED2-4D5A-4B23-8A5C-34451686BB87}" name="المنتج"/>
    <tableColumn id="14" xr3:uid="{5C7E7829-EAB2-4268-9FAB-15FA3FD2CCF4}" name="سعر البيع "/>
    <tableColumn id="15" xr3:uid="{BACF5005-30BE-47C9-AAC1-9BDF38012149}" name="طريقه الدفع "/>
    <tableColumn id="16" xr3:uid="{E2B28B8B-CFBC-439F-8D85-DC762E0967F1}" name="ميعاد الطلب" dataDxfId="50"/>
    <tableColumn id="17" xr3:uid="{1A1B1E1B-A2CA-408E-8E56-91ED4C4CCBF5}" name="ميعاد التسليم" dataDxfId="49"/>
    <tableColumn id="18" xr3:uid="{E1959E39-8CB9-4EDA-BBF2-E00B29924D1E}" name="تاريخ التسليم" dataDxfId="48"/>
    <tableColumn id="2" xr3:uid="{5929C7DE-15D3-4F6B-BAA3-355C82794866}" name="عدد أيام التسليم الأصلى" dataDxfId="47">
      <calculatedColumnFormula>IF(OR(ISBLANK(table1[[#This Row],[ميعاد الطلب]]),ISBLANK(table1[[#This Row],[ميعاد التسليم]])),0,table1[[#This Row],[ميعاد التسليم]]-table1[[#This Row],[ميعاد الطلب]])</calculatedColumnFormula>
    </tableColumn>
    <tableColumn id="3" xr3:uid="{2BEEC7D8-2A51-4F7A-9B83-7976B7B93352}" name="عدد أيام التسليم الفعلى" dataDxfId="22">
      <calculatedColumnFormula>IF(OR(ISBLANK(table1[[#This Row],[تاريخ التسليم]]),ISBLANK(table1[[#This Row],[ميعاد الطلب]]),ISBLANK(table1[[#This Row],[ميعاد التسليم]])),0,table1[[#This Row],[تاريخ التسليم]]-table1[[#This Row],[ميعاد الطلب]])</calculatedColumnFormula>
    </tableColumn>
    <tableColumn id="23" xr3:uid="{FF4D0B8C-46CD-415E-BA7A-7DA012D5025D}" name="Column4" dataDxfId="20"/>
    <tableColumn id="25" xr3:uid="{2CA249B4-2C38-4756-B217-A70D4BD8A8D0}" name="Column5" dataDxfId="19">
      <calculatedColumnFormula array="1">_xlfn.IFS(OR(table1[[#This Row],[Column4]]=0,table1[[#This Row],[Column4]]="0"),"لا يوجد تاريخ", table1[[#This Row],[Column4]]&gt;0,"تم التسليم قبل الموعد",table1[[#This Row],[Column4]]&lt;0,"تم التسليم بعد الموعد")</calculatedColumnFormula>
    </tableColumn>
    <tableColumn id="19" xr3:uid="{5F8B0FDB-1F35-4B52-9FA7-8035B2A836D7}" name="المسئول عن التسليم"/>
    <tableColumn id="20" xr3:uid="{064C9CE2-4190-4BB6-8764-5128D762D8E3}" name="الحالة"/>
    <tableColumn id="26" xr3:uid="{8FF09841-496F-49DE-A608-039A5C21E43D}" name="الحالة1" dataDxfId="12">
      <calculatedColumnFormula>TRIM(table1[[#This Row],[الحالة]])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E7BCED-47CB-49FB-8CE9-A7CAADBF39ED}" name="Table13" displayName="Table13" ref="A1:T127" totalsRowShown="0" headerRowDxfId="46" dataDxfId="44" headerRowBorderDxfId="45" tableBorderDxfId="43">
  <autoFilter ref="A1:T127" xr:uid="{D2798A78-3521-436D-9BC5-851ED3CB5E63}"/>
  <tableColumns count="20">
    <tableColumn id="1" xr3:uid="{FD247F19-3F27-4CA0-9CA6-2E9AA3AA1742}" name="م" dataDxfId="42"/>
    <tableColumn id="2" xr3:uid="{DAB48EC6-2FC2-4A35-A444-EC1023EC1CD3}" name="رقم العملية" dataDxfId="41"/>
    <tableColumn id="3" xr3:uid="{BF828010-5F19-4960-BCCB-205E4D600EF9}" name="رقم الطلب" dataDxfId="40"/>
    <tableColumn id="4" xr3:uid="{6DA41A06-DBA1-48DF-B696-C418EF2EED33}" name="أسم العميل" dataDxfId="39"/>
    <tableColumn id="5" xr3:uid="{E02AFA9F-2EC2-43DD-8E57-ED4EB998289B}" name="العنوان" dataDxfId="38"/>
    <tableColumn id="6" xr3:uid="{6B9A063D-E81A-4EF1-87F1-A3F2C37C7C6D}" name="منصة البيع " dataDxfId="37"/>
    <tableColumn id="7" xr3:uid="{920D3B12-BA5A-4719-83B9-7E478E5E1089}" name="Column1" dataDxfId="36"/>
    <tableColumn id="8" xr3:uid="{23A4FAD1-6646-4642-BA77-89503AB72E3D}" name="Column2" dataDxfId="35"/>
    <tableColumn id="9" xr3:uid="{9CBE18CC-4213-4221-AF52-796CBE6DDE09}" name="الاسم" dataDxfId="34"/>
    <tableColumn id="10" xr3:uid="{AE2B86EC-688E-475E-A55A-DF8950997F48}" name="المقاس" dataDxfId="33"/>
    <tableColumn id="11" xr3:uid="{9536C914-4BBB-4072-88C4-80DBFDF841F8}" name="اللون المعدن" dataDxfId="32"/>
    <tableColumn id="12" xr3:uid="{636FFDB4-9D38-46BA-8537-71742E623A31}" name="لون القماش" dataDxfId="31"/>
    <tableColumn id="13" xr3:uid="{A677E1D6-CC68-4B08-B2E7-C2E26D1C60C8}" name="المنتج" dataDxfId="30"/>
    <tableColumn id="14" xr3:uid="{0232CDCC-4B68-4890-A326-A9A0B4B234CD}" name="سعر البيع " dataDxfId="29"/>
    <tableColumn id="15" xr3:uid="{DD47A556-C9C3-42BA-9081-C1C0F0A96FAD}" name="طريقه الدفع " dataDxfId="28"/>
    <tableColumn id="16" xr3:uid="{558AED21-947F-44E1-A22B-D361F99B2520}" name="ميعاد الطلب" dataDxfId="27"/>
    <tableColumn id="17" xr3:uid="{D2B3BA66-33AC-4DFC-961B-54EDC6B035A5}" name="ميعاد التسليم" dataDxfId="26"/>
    <tableColumn id="18" xr3:uid="{D4AAE650-7808-427B-9274-A01097D07DD3}" name="تاريخ التسليم" dataDxfId="25"/>
    <tableColumn id="19" xr3:uid="{E7A43F4D-8207-41F0-A02B-7E46F1B0AD90}" name="المسئول عن التسليم" dataDxfId="24"/>
    <tableColumn id="20" xr3:uid="{B0DF1866-4DF9-439B-B6C2-C0437A111DEF}" name="الحالة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DEE45-E9D7-4D2C-B86A-99E0DABE7FC2}">
  <dimension ref="A1:E16"/>
  <sheetViews>
    <sheetView showGridLines="0" rightToLeft="1" workbookViewId="0">
      <selection activeCell="E14" sqref="E14:E15"/>
    </sheetView>
  </sheetViews>
  <sheetFormatPr defaultRowHeight="14.4" x14ac:dyDescent="0.3"/>
  <cols>
    <col min="2" max="2" width="41.88671875" customWidth="1"/>
  </cols>
  <sheetData>
    <row r="1" spans="1:5" x14ac:dyDescent="0.3">
      <c r="A1" s="18"/>
      <c r="B1" s="18"/>
    </row>
    <row r="2" spans="1:5" x14ac:dyDescent="0.3">
      <c r="A2" s="18"/>
      <c r="B2" s="18"/>
    </row>
    <row r="3" spans="1:5" s="16" customFormat="1" ht="24.6" x14ac:dyDescent="0.4">
      <c r="A3" s="16" t="s">
        <v>325</v>
      </c>
    </row>
    <row r="4" spans="1:5" s="17" customFormat="1" ht="18" x14ac:dyDescent="0.35">
      <c r="A4" s="20" t="s">
        <v>318</v>
      </c>
      <c r="B4" s="20"/>
      <c r="E4" s="70" t="s">
        <v>364</v>
      </c>
    </row>
    <row r="5" spans="1:5" s="13" customFormat="1" x14ac:dyDescent="0.3">
      <c r="A5" s="21"/>
      <c r="B5" s="21"/>
    </row>
    <row r="6" spans="1:5" s="15" customFormat="1" ht="17.399999999999999" x14ac:dyDescent="0.3">
      <c r="A6" s="15" t="s">
        <v>324</v>
      </c>
    </row>
    <row r="7" spans="1:5" s="14" customFormat="1" ht="15.6" x14ac:dyDescent="0.3">
      <c r="A7" s="22" t="s">
        <v>319</v>
      </c>
      <c r="B7" s="19"/>
      <c r="C7" s="70" t="s">
        <v>364</v>
      </c>
      <c r="E7" s="70" t="s">
        <v>364</v>
      </c>
    </row>
    <row r="8" spans="1:5" s="14" customFormat="1" ht="15.6" x14ac:dyDescent="0.3">
      <c r="A8" s="19" t="s">
        <v>320</v>
      </c>
      <c r="B8" s="19"/>
      <c r="C8" s="70" t="s">
        <v>364</v>
      </c>
      <c r="E8" s="70" t="s">
        <v>364</v>
      </c>
    </row>
    <row r="9" spans="1:5" s="14" customFormat="1" ht="15.6" x14ac:dyDescent="0.3">
      <c r="A9" s="19" t="s">
        <v>321</v>
      </c>
      <c r="B9" s="19"/>
      <c r="C9" s="70" t="s">
        <v>364</v>
      </c>
      <c r="E9" s="70" t="s">
        <v>364</v>
      </c>
    </row>
    <row r="10" spans="1:5" s="14" customFormat="1" ht="15.6" x14ac:dyDescent="0.3">
      <c r="A10" s="19" t="s">
        <v>322</v>
      </c>
      <c r="B10" s="19"/>
      <c r="C10" s="70" t="s">
        <v>364</v>
      </c>
      <c r="E10" s="70" t="s">
        <v>364</v>
      </c>
    </row>
    <row r="11" spans="1:5" s="19" customFormat="1" ht="15.6" x14ac:dyDescent="0.3">
      <c r="A11" s="19" t="s">
        <v>326</v>
      </c>
      <c r="C11" s="70" t="s">
        <v>364</v>
      </c>
      <c r="E11" s="70" t="s">
        <v>364</v>
      </c>
    </row>
    <row r="12" spans="1:5" s="14" customFormat="1" ht="15.6" x14ac:dyDescent="0.3">
      <c r="A12" s="19" t="s">
        <v>327</v>
      </c>
      <c r="B12" s="19"/>
      <c r="C12" s="70" t="s">
        <v>364</v>
      </c>
      <c r="E12" s="70" t="s">
        <v>364</v>
      </c>
    </row>
    <row r="13" spans="1:5" s="14" customFormat="1" ht="15.6" x14ac:dyDescent="0.3">
      <c r="A13" s="19" t="s">
        <v>323</v>
      </c>
      <c r="B13" s="19"/>
      <c r="C13" s="70" t="s">
        <v>364</v>
      </c>
      <c r="E13" s="70" t="s">
        <v>364</v>
      </c>
    </row>
    <row r="14" spans="1:5" s="14" customFormat="1" ht="15.6" x14ac:dyDescent="0.3">
      <c r="A14" s="19" t="s">
        <v>330</v>
      </c>
      <c r="B14" s="19"/>
      <c r="C14" s="70" t="s">
        <v>364</v>
      </c>
      <c r="E14" s="70" t="s">
        <v>364</v>
      </c>
    </row>
    <row r="15" spans="1:5" s="14" customFormat="1" ht="15.6" x14ac:dyDescent="0.3">
      <c r="A15" s="19" t="s">
        <v>328</v>
      </c>
      <c r="B15" s="19"/>
      <c r="C15" s="70" t="s">
        <v>364</v>
      </c>
      <c r="E15" s="70" t="s">
        <v>364</v>
      </c>
    </row>
    <row r="16" spans="1:5" ht="15.6" x14ac:dyDescent="0.3">
      <c r="A16" s="19" t="s">
        <v>329</v>
      </c>
      <c r="C16" s="70" t="s">
        <v>364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40"/>
  <sheetViews>
    <sheetView topLeftCell="A2" zoomScaleNormal="100" workbookViewId="0">
      <selection activeCell="C5" sqref="C5"/>
    </sheetView>
  </sheetViews>
  <sheetFormatPr defaultColWidth="8.88671875" defaultRowHeight="14.4" x14ac:dyDescent="0.3"/>
  <cols>
    <col min="1" max="1" width="15.44140625" style="26" bestFit="1" customWidth="1"/>
    <col min="2" max="2" width="16.33203125" style="26" customWidth="1"/>
    <col min="3" max="3" width="30.88671875" style="26" bestFit="1" customWidth="1"/>
    <col min="4" max="4" width="34.109375" style="26" bestFit="1" customWidth="1"/>
    <col min="5" max="5" width="16.109375" style="26" bestFit="1" customWidth="1"/>
    <col min="6" max="6" width="21.21875" style="26" customWidth="1"/>
    <col min="7" max="7" width="16.109375" style="26" customWidth="1"/>
    <col min="8" max="8" width="11.88671875" style="26" bestFit="1" customWidth="1"/>
    <col min="9" max="9" width="13" style="26" bestFit="1" customWidth="1"/>
    <col min="10" max="10" width="17.109375" style="26" bestFit="1" customWidth="1"/>
    <col min="11" max="11" width="16.109375" style="26" bestFit="1" customWidth="1"/>
    <col min="12" max="12" width="14.44140625" style="26" bestFit="1" customWidth="1"/>
    <col min="13" max="13" width="15" style="26" bestFit="1" customWidth="1"/>
    <col min="14" max="14" width="17.21875" style="27" bestFit="1" customWidth="1"/>
    <col min="15" max="15" width="16.77734375" style="26" bestFit="1" customWidth="1"/>
    <col min="16" max="16" width="17.5546875" style="26" bestFit="1" customWidth="1"/>
    <col min="17" max="17" width="23.88671875" style="26" bestFit="1" customWidth="1"/>
    <col min="18" max="19" width="23.88671875" style="26" customWidth="1"/>
    <col min="20" max="20" width="20.77734375" style="26" customWidth="1"/>
    <col min="21" max="22" width="20.77734375" style="1" customWidth="1"/>
    <col min="23" max="23" width="20.77734375" style="26" customWidth="1"/>
    <col min="24" max="24" width="22.77734375" style="28" bestFit="1" customWidth="1"/>
    <col min="25" max="16384" width="8.88671875" style="1"/>
  </cols>
  <sheetData>
    <row r="1" spans="1:25" ht="20.100000000000001" customHeight="1" x14ac:dyDescent="0.3">
      <c r="A1" s="51" t="s">
        <v>0</v>
      </c>
      <c r="B1" s="51" t="s">
        <v>335</v>
      </c>
      <c r="C1" s="51" t="s">
        <v>1</v>
      </c>
      <c r="D1" s="51" t="s">
        <v>336</v>
      </c>
      <c r="E1" s="51" t="s">
        <v>6</v>
      </c>
      <c r="F1" s="51" t="s">
        <v>331</v>
      </c>
      <c r="G1" s="51" t="s">
        <v>332</v>
      </c>
      <c r="H1" s="51" t="s">
        <v>172</v>
      </c>
      <c r="I1" s="51" t="s">
        <v>173</v>
      </c>
      <c r="J1" s="51" t="s">
        <v>177</v>
      </c>
      <c r="K1" s="51" t="s">
        <v>423</v>
      </c>
      <c r="L1" s="51" t="s">
        <v>178</v>
      </c>
      <c r="M1" s="50" t="s">
        <v>2</v>
      </c>
      <c r="N1" s="51" t="s">
        <v>8</v>
      </c>
      <c r="O1" s="52" t="s">
        <v>9</v>
      </c>
      <c r="P1" s="51" t="s">
        <v>11</v>
      </c>
      <c r="Q1" s="51" t="s">
        <v>10</v>
      </c>
      <c r="R1" s="51" t="s">
        <v>3</v>
      </c>
      <c r="S1" s="51" t="s">
        <v>365</v>
      </c>
      <c r="T1" s="51" t="s">
        <v>366</v>
      </c>
      <c r="U1" s="82" t="s">
        <v>422</v>
      </c>
      <c r="V1" s="82" t="s">
        <v>426</v>
      </c>
      <c r="W1" s="51" t="s">
        <v>4</v>
      </c>
      <c r="X1" s="53" t="s">
        <v>188</v>
      </c>
      <c r="Y1" s="51" t="s">
        <v>433</v>
      </c>
    </row>
    <row r="2" spans="1:25" ht="20.100000000000001" customHeight="1" x14ac:dyDescent="0.3">
      <c r="A2" t="s">
        <v>380</v>
      </c>
      <c r="B2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2" t="s">
        <v>13</v>
      </c>
      <c r="D2" t="s">
        <v>339</v>
      </c>
      <c r="E2" t="s">
        <v>7</v>
      </c>
      <c r="F2" t="s">
        <v>148</v>
      </c>
      <c r="G2" t="s">
        <v>149</v>
      </c>
      <c r="H2"/>
      <c r="I2"/>
      <c r="J2" t="s">
        <v>333</v>
      </c>
      <c r="K2" t="s">
        <v>333</v>
      </c>
      <c r="L2" t="s">
        <v>333</v>
      </c>
      <c r="M2" t="s">
        <v>14</v>
      </c>
      <c r="N2">
        <v>10160</v>
      </c>
      <c r="O2" t="s">
        <v>15</v>
      </c>
      <c r="P2" s="68">
        <v>45500</v>
      </c>
      <c r="Q2" s="67"/>
      <c r="R2" s="67">
        <v>45514</v>
      </c>
      <c r="S2" s="71">
        <f>IF(OR(ISBLANK(table1[[#This Row],[ميعاد الطلب]]),ISBLANK(table1[[#This Row],[ميعاد التسليم]])),0,table1[[#This Row],[ميعاد التسليم]]-table1[[#This Row],[ميعاد الطلب]])</f>
        <v>0</v>
      </c>
      <c r="T2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2" s="83" t="s">
        <v>430</v>
      </c>
      <c r="V2" s="83" t="str" cm="1">
        <f t="array" ref="V2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2" t="s">
        <v>27</v>
      </c>
      <c r="X2" t="s">
        <v>196</v>
      </c>
      <c r="Y2" s="1" t="str">
        <f>TRIM(table1[[#This Row],[الحالة]])</f>
        <v>تم التسليم</v>
      </c>
    </row>
    <row r="3" spans="1:25" ht="20.100000000000001" customHeight="1" x14ac:dyDescent="0.3">
      <c r="A3" t="s">
        <v>17</v>
      </c>
      <c r="B3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3" t="s">
        <v>18</v>
      </c>
      <c r="D3" t="s">
        <v>340</v>
      </c>
      <c r="E3" t="s">
        <v>7</v>
      </c>
      <c r="F3" t="s">
        <v>148</v>
      </c>
      <c r="G3" t="s">
        <v>149</v>
      </c>
      <c r="H3"/>
      <c r="I3"/>
      <c r="J3" t="s">
        <v>334</v>
      </c>
      <c r="K3" t="s">
        <v>334</v>
      </c>
      <c r="L3" t="s">
        <v>334</v>
      </c>
      <c r="M3" t="s">
        <v>19</v>
      </c>
      <c r="N3">
        <v>10160</v>
      </c>
      <c r="O3">
        <v>9749</v>
      </c>
      <c r="P3" s="68">
        <v>45501</v>
      </c>
      <c r="Q3" s="67"/>
      <c r="R3" s="67">
        <v>45515</v>
      </c>
      <c r="S3" s="71">
        <f>IF(OR(ISBLANK(table1[[#This Row],[ميعاد الطلب]]),ISBLANK(table1[[#This Row],[ميعاد التسليم]])),0,table1[[#This Row],[ميعاد التسليم]]-table1[[#This Row],[ميعاد الطلب]])</f>
        <v>0</v>
      </c>
      <c r="T3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3" s="83" t="s">
        <v>430</v>
      </c>
      <c r="V3" s="83" t="str" cm="1">
        <f t="array" ref="V3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3" t="s">
        <v>27</v>
      </c>
      <c r="X3" t="s">
        <v>196</v>
      </c>
      <c r="Y3" s="1" t="str">
        <f>TRIM(table1[[#This Row],[الحالة]])</f>
        <v>تم التسليم</v>
      </c>
    </row>
    <row r="4" spans="1:25" ht="20.100000000000001" customHeight="1" x14ac:dyDescent="0.3">
      <c r="A4" t="s">
        <v>21</v>
      </c>
      <c r="B4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4" t="s">
        <v>341</v>
      </c>
      <c r="D4" t="s">
        <v>342</v>
      </c>
      <c r="E4" t="s">
        <v>7</v>
      </c>
      <c r="F4" t="s">
        <v>148</v>
      </c>
      <c r="G4" t="s">
        <v>163</v>
      </c>
      <c r="H4" t="s">
        <v>153</v>
      </c>
      <c r="I4">
        <v>90</v>
      </c>
      <c r="J4" t="s">
        <v>168</v>
      </c>
      <c r="K4" t="s">
        <v>168</v>
      </c>
      <c r="L4" t="s">
        <v>420</v>
      </c>
      <c r="M4" t="s">
        <v>23</v>
      </c>
      <c r="N4">
        <v>11455</v>
      </c>
      <c r="O4">
        <v>10067.68</v>
      </c>
      <c r="P4" s="68">
        <v>45500</v>
      </c>
      <c r="Q4" s="67"/>
      <c r="R4" s="67"/>
      <c r="S4" s="71">
        <f>IF(OR(ISBLANK(table1[[#This Row],[ميعاد الطلب]]),ISBLANK(table1[[#This Row],[ميعاد التسليم]])),0,table1[[#This Row],[ميعاد التسليم]]-table1[[#This Row],[ميعاد الطلب]])</f>
        <v>0</v>
      </c>
      <c r="T4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4" s="83" t="s">
        <v>430</v>
      </c>
      <c r="V4" s="83" t="str" cm="1">
        <f t="array" ref="V4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4" t="s">
        <v>36</v>
      </c>
      <c r="X4" t="s">
        <v>190</v>
      </c>
      <c r="Y4" s="1" t="str">
        <f>TRIM(table1[[#This Row],[الحالة]])</f>
        <v>فشل التسليم</v>
      </c>
    </row>
    <row r="5" spans="1:25" ht="20.100000000000001" customHeight="1" x14ac:dyDescent="0.3">
      <c r="A5" t="s">
        <v>24</v>
      </c>
      <c r="B5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5" t="s">
        <v>115</v>
      </c>
      <c r="D5" t="s">
        <v>343</v>
      </c>
      <c r="E5" t="s">
        <v>7</v>
      </c>
      <c r="F5" t="s">
        <v>155</v>
      </c>
      <c r="G5"/>
      <c r="H5"/>
      <c r="I5"/>
      <c r="J5" t="s">
        <v>420</v>
      </c>
      <c r="K5" t="s">
        <v>420</v>
      </c>
      <c r="L5" t="s">
        <v>420</v>
      </c>
      <c r="M5" t="s">
        <v>26</v>
      </c>
      <c r="N5">
        <v>8642</v>
      </c>
      <c r="O5" t="s">
        <v>15</v>
      </c>
      <c r="P5" s="68">
        <v>45529</v>
      </c>
      <c r="Q5" s="67">
        <v>45542</v>
      </c>
      <c r="R5" s="67">
        <v>45531</v>
      </c>
      <c r="S5" s="71">
        <f>IF(OR(ISBLANK(table1[[#This Row],[ميعاد الطلب]]),ISBLANK(table1[[#This Row],[ميعاد التسليم]])),0,table1[[#This Row],[ميعاد التسليم]]-table1[[#This Row],[ميعاد الطلب]])</f>
        <v>13</v>
      </c>
      <c r="T5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</v>
      </c>
      <c r="U5" s="83">
        <v>11</v>
      </c>
      <c r="V5" s="83" t="str" cm="1">
        <f t="array" ref="V5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5" t="s">
        <v>27</v>
      </c>
      <c r="X5" t="s">
        <v>196</v>
      </c>
      <c r="Y5" s="1" t="str">
        <f>TRIM(table1[[#This Row],[الحالة]])</f>
        <v>تم التسليم</v>
      </c>
    </row>
    <row r="6" spans="1:25" ht="20.100000000000001" customHeight="1" x14ac:dyDescent="0.3">
      <c r="A6" t="s">
        <v>381</v>
      </c>
      <c r="B6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6" t="s">
        <v>341</v>
      </c>
      <c r="D6" t="s">
        <v>342</v>
      </c>
      <c r="E6" t="s">
        <v>7</v>
      </c>
      <c r="F6" t="s">
        <v>148</v>
      </c>
      <c r="G6" t="s">
        <v>163</v>
      </c>
      <c r="H6" t="s">
        <v>150</v>
      </c>
      <c r="I6">
        <v>100</v>
      </c>
      <c r="J6" t="s">
        <v>170</v>
      </c>
      <c r="K6" t="s">
        <v>170</v>
      </c>
      <c r="L6" t="s">
        <v>420</v>
      </c>
      <c r="M6" t="s">
        <v>29</v>
      </c>
      <c r="N6">
        <v>12833</v>
      </c>
      <c r="O6">
        <v>12974.22</v>
      </c>
      <c r="P6" s="68">
        <v>45520</v>
      </c>
      <c r="Q6" s="67">
        <v>45535</v>
      </c>
      <c r="R6" s="67"/>
      <c r="S6" s="71">
        <f>IF(OR(ISBLANK(table1[[#This Row],[ميعاد الطلب]]),ISBLANK(table1[[#This Row],[ميعاد التسليم]])),0,table1[[#This Row],[ميعاد التسليم]]-table1[[#This Row],[ميعاد الطلب]])</f>
        <v>15</v>
      </c>
      <c r="T6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6" s="83" t="s">
        <v>430</v>
      </c>
      <c r="V6" s="83" t="str" cm="1">
        <f t="array" ref="V6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6" t="s">
        <v>36</v>
      </c>
      <c r="X6" t="s">
        <v>190</v>
      </c>
      <c r="Y6" s="1" t="str">
        <f>TRIM(table1[[#This Row],[الحالة]])</f>
        <v>فشل التسليم</v>
      </c>
    </row>
    <row r="7" spans="1:25" ht="20.100000000000001" customHeight="1" x14ac:dyDescent="0.3">
      <c r="A7" t="s">
        <v>51</v>
      </c>
      <c r="B7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7"/>
      <c r="D7" t="e">
        <v>#N/A</v>
      </c>
      <c r="E7" t="s">
        <v>51</v>
      </c>
      <c r="F7" t="s">
        <v>159</v>
      </c>
      <c r="G7" t="s">
        <v>162</v>
      </c>
      <c r="H7"/>
      <c r="I7"/>
      <c r="J7" t="s">
        <v>420</v>
      </c>
      <c r="K7" t="s">
        <v>420</v>
      </c>
      <c r="L7" t="s">
        <v>170</v>
      </c>
      <c r="M7" t="s">
        <v>31</v>
      </c>
      <c r="N7">
        <v>14550</v>
      </c>
      <c r="O7" t="s">
        <v>15</v>
      </c>
      <c r="P7" s="68">
        <v>45518</v>
      </c>
      <c r="Q7" s="67">
        <v>45538</v>
      </c>
      <c r="R7" s="67">
        <v>45540</v>
      </c>
      <c r="S7" s="71">
        <f>IF(OR(ISBLANK(table1[[#This Row],[ميعاد الطلب]]),ISBLANK(table1[[#This Row],[ميعاد التسليم]])),0,table1[[#This Row],[ميعاد التسليم]]-table1[[#This Row],[ميعاد الطلب]])</f>
        <v>20</v>
      </c>
      <c r="T7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22</v>
      </c>
      <c r="U7" s="83">
        <v>-2</v>
      </c>
      <c r="V7" s="83" t="str" cm="1">
        <f t="array" ref="V7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7" t="s">
        <v>27</v>
      </c>
      <c r="X7" t="s">
        <v>196</v>
      </c>
      <c r="Y7" s="1" t="str">
        <f>TRIM(table1[[#This Row],[الحالة]])</f>
        <v>تم التسليم</v>
      </c>
    </row>
    <row r="8" spans="1:25" ht="20.100000000000001" customHeight="1" x14ac:dyDescent="0.3">
      <c r="A8" t="s">
        <v>382</v>
      </c>
      <c r="B8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8" t="s">
        <v>33</v>
      </c>
      <c r="D8" t="s">
        <v>344</v>
      </c>
      <c r="E8" t="s">
        <v>34</v>
      </c>
      <c r="F8" t="s">
        <v>159</v>
      </c>
      <c r="G8" t="s">
        <v>162</v>
      </c>
      <c r="H8"/>
      <c r="I8"/>
      <c r="J8" t="s">
        <v>420</v>
      </c>
      <c r="K8" t="s">
        <v>420</v>
      </c>
      <c r="L8" t="s">
        <v>170</v>
      </c>
      <c r="M8" t="s">
        <v>31</v>
      </c>
      <c r="N8">
        <v>12000</v>
      </c>
      <c r="O8">
        <v>12000</v>
      </c>
      <c r="P8" s="68">
        <v>45521</v>
      </c>
      <c r="Q8" s="67">
        <v>45524</v>
      </c>
      <c r="R8" s="67">
        <v>45523</v>
      </c>
      <c r="S8" s="71">
        <f>IF(OR(ISBLANK(table1[[#This Row],[ميعاد الطلب]]),ISBLANK(table1[[#This Row],[ميعاد التسليم]])),0,table1[[#This Row],[ميعاد التسليم]]-table1[[#This Row],[ميعاد الطلب]])</f>
        <v>3</v>
      </c>
      <c r="T8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</v>
      </c>
      <c r="U8" s="83">
        <v>1</v>
      </c>
      <c r="V8" s="83" t="str" cm="1">
        <f t="array" ref="V8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8" t="s">
        <v>27</v>
      </c>
      <c r="X8" t="s">
        <v>196</v>
      </c>
      <c r="Y8" s="1" t="str">
        <f>TRIM(table1[[#This Row],[الحالة]])</f>
        <v>تم التسليم</v>
      </c>
    </row>
    <row r="9" spans="1:25" ht="20.100000000000001" customHeight="1" x14ac:dyDescent="0.3">
      <c r="A9" t="s">
        <v>37</v>
      </c>
      <c r="B9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9" t="s">
        <v>276</v>
      </c>
      <c r="D9" t="s">
        <v>339</v>
      </c>
      <c r="E9" t="s">
        <v>7</v>
      </c>
      <c r="F9" t="s">
        <v>148</v>
      </c>
      <c r="G9" t="s">
        <v>151</v>
      </c>
      <c r="H9"/>
      <c r="I9"/>
      <c r="J9" t="s">
        <v>333</v>
      </c>
      <c r="K9" t="s">
        <v>333</v>
      </c>
      <c r="L9" t="s">
        <v>420</v>
      </c>
      <c r="M9" t="s">
        <v>39</v>
      </c>
      <c r="N9">
        <v>7228</v>
      </c>
      <c r="O9" t="s">
        <v>15</v>
      </c>
      <c r="P9" s="68">
        <v>45529</v>
      </c>
      <c r="Q9" s="67">
        <v>45538</v>
      </c>
      <c r="R9" s="67">
        <v>45545</v>
      </c>
      <c r="S9" s="71">
        <f>IF(OR(ISBLANK(table1[[#This Row],[ميعاد الطلب]]),ISBLANK(table1[[#This Row],[ميعاد التسليم]])),0,table1[[#This Row],[ميعاد التسليم]]-table1[[#This Row],[ميعاد الطلب]])</f>
        <v>9</v>
      </c>
      <c r="T9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16</v>
      </c>
      <c r="U9" s="83">
        <v>-7</v>
      </c>
      <c r="V9" s="83" t="str" cm="1">
        <f t="array" ref="V9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9" t="s">
        <v>27</v>
      </c>
      <c r="X9" t="s">
        <v>196</v>
      </c>
      <c r="Y9" s="1" t="str">
        <f>TRIM(table1[[#This Row],[الحالة]])</f>
        <v>تم التسليم</v>
      </c>
    </row>
    <row r="10" spans="1:25" ht="20.100000000000001" customHeight="1" x14ac:dyDescent="0.3">
      <c r="A10" t="s">
        <v>42</v>
      </c>
      <c r="B10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10" t="s">
        <v>41</v>
      </c>
      <c r="D10" t="s">
        <v>344</v>
      </c>
      <c r="E10" t="s">
        <v>42</v>
      </c>
      <c r="F10" t="s">
        <v>156</v>
      </c>
      <c r="G10" t="s">
        <v>158</v>
      </c>
      <c r="H10"/>
      <c r="I10"/>
      <c r="J10" t="s">
        <v>420</v>
      </c>
      <c r="K10" t="s">
        <v>420</v>
      </c>
      <c r="L10" t="s">
        <v>420</v>
      </c>
      <c r="M10" t="s">
        <v>43</v>
      </c>
      <c r="N10">
        <v>22000</v>
      </c>
      <c r="O10">
        <v>22000</v>
      </c>
      <c r="P10" s="68">
        <v>45523</v>
      </c>
      <c r="Q10" s="67">
        <v>45536</v>
      </c>
      <c r="R10" s="67">
        <v>45552</v>
      </c>
      <c r="S10" s="71">
        <f>IF(OR(ISBLANK(table1[[#This Row],[ميعاد الطلب]]),ISBLANK(table1[[#This Row],[ميعاد التسليم]])),0,table1[[#This Row],[ميعاد التسليم]]-table1[[#This Row],[ميعاد الطلب]])</f>
        <v>13</v>
      </c>
      <c r="T10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29</v>
      </c>
      <c r="U10" s="83">
        <v>-16</v>
      </c>
      <c r="V10" s="83" t="str" cm="1">
        <f t="array" ref="V10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10"/>
      <c r="X10" t="s">
        <v>196</v>
      </c>
      <c r="Y10" s="1" t="str">
        <f>TRIM(table1[[#This Row],[الحالة]])</f>
        <v>تم التسليم</v>
      </c>
    </row>
    <row r="11" spans="1:25" ht="20.100000000000001" customHeight="1" x14ac:dyDescent="0.3">
      <c r="A11" t="s">
        <v>42</v>
      </c>
      <c r="B11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11" t="s">
        <v>41</v>
      </c>
      <c r="D11" t="s">
        <v>344</v>
      </c>
      <c r="E11" t="s">
        <v>42</v>
      </c>
      <c r="F11" t="s">
        <v>159</v>
      </c>
      <c r="G11" t="s">
        <v>157</v>
      </c>
      <c r="H11"/>
      <c r="I11"/>
      <c r="J11" t="s">
        <v>420</v>
      </c>
      <c r="K11" t="s">
        <v>420</v>
      </c>
      <c r="L11" t="s">
        <v>420</v>
      </c>
      <c r="M11" t="s">
        <v>44</v>
      </c>
      <c r="N11">
        <v>16000</v>
      </c>
      <c r="O11">
        <v>16000</v>
      </c>
      <c r="P11" s="68"/>
      <c r="Q11" s="67"/>
      <c r="R11" s="67"/>
      <c r="S11" s="71">
        <f>IF(OR(ISBLANK(table1[[#This Row],[ميعاد الطلب]]),ISBLANK(table1[[#This Row],[ميعاد التسليم]])),0,table1[[#This Row],[ميعاد التسليم]]-table1[[#This Row],[ميعاد الطلب]])</f>
        <v>0</v>
      </c>
      <c r="T11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11" s="83" t="s">
        <v>430</v>
      </c>
      <c r="V11" s="83" t="str" cm="1">
        <f t="array" ref="V11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11" t="s">
        <v>107</v>
      </c>
      <c r="X11" t="s">
        <v>234</v>
      </c>
      <c r="Y11" s="1" t="str">
        <f>TRIM(table1[[#This Row],[الحالة]])</f>
        <v>لاغى</v>
      </c>
    </row>
    <row r="12" spans="1:25" ht="20.100000000000001" customHeight="1" x14ac:dyDescent="0.3">
      <c r="A12" t="s">
        <v>42</v>
      </c>
      <c r="B12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12" t="s">
        <v>41</v>
      </c>
      <c r="D12" t="s">
        <v>344</v>
      </c>
      <c r="E12" t="s">
        <v>42</v>
      </c>
      <c r="F12" t="s">
        <v>159</v>
      </c>
      <c r="G12" t="s">
        <v>157</v>
      </c>
      <c r="H12"/>
      <c r="I12"/>
      <c r="J12" t="s">
        <v>420</v>
      </c>
      <c r="K12" t="s">
        <v>420</v>
      </c>
      <c r="L12" t="s">
        <v>420</v>
      </c>
      <c r="M12" t="s">
        <v>46</v>
      </c>
      <c r="N12">
        <v>6000</v>
      </c>
      <c r="O12">
        <v>12000</v>
      </c>
      <c r="P12" s="68">
        <v>45529</v>
      </c>
      <c r="Q12" s="67">
        <v>45550</v>
      </c>
      <c r="R12" s="67">
        <v>45552</v>
      </c>
      <c r="S12" s="71">
        <f>IF(OR(ISBLANK(table1[[#This Row],[ميعاد الطلب]]),ISBLANK(table1[[#This Row],[ميعاد التسليم]])),0,table1[[#This Row],[ميعاد التسليم]]-table1[[#This Row],[ميعاد الطلب]])</f>
        <v>21</v>
      </c>
      <c r="T12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23</v>
      </c>
      <c r="U12" s="83">
        <v>-2</v>
      </c>
      <c r="V12" s="83" t="str" cm="1">
        <f t="array" ref="V12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12" t="s">
        <v>197</v>
      </c>
      <c r="X12" t="s">
        <v>196</v>
      </c>
      <c r="Y12" s="1" t="str">
        <f>TRIM(table1[[#This Row],[الحالة]])</f>
        <v>تم التسليم</v>
      </c>
    </row>
    <row r="13" spans="1:25" ht="20.100000000000001" customHeight="1" x14ac:dyDescent="0.3">
      <c r="A13" t="s">
        <v>42</v>
      </c>
      <c r="B13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13" t="s">
        <v>41</v>
      </c>
      <c r="D13" t="s">
        <v>344</v>
      </c>
      <c r="E13" t="s">
        <v>42</v>
      </c>
      <c r="F13" t="s">
        <v>159</v>
      </c>
      <c r="G13" t="s">
        <v>157</v>
      </c>
      <c r="H13"/>
      <c r="I13"/>
      <c r="J13" t="s">
        <v>420</v>
      </c>
      <c r="K13" t="s">
        <v>420</v>
      </c>
      <c r="L13" t="s">
        <v>420</v>
      </c>
      <c r="M13" t="s">
        <v>46</v>
      </c>
      <c r="N13">
        <v>6000</v>
      </c>
      <c r="O13">
        <v>12000</v>
      </c>
      <c r="P13" s="68">
        <v>45529</v>
      </c>
      <c r="Q13" s="67">
        <v>45550</v>
      </c>
      <c r="R13" s="67">
        <v>45552</v>
      </c>
      <c r="S13" s="71">
        <f>IF(OR(ISBLANK(table1[[#This Row],[ميعاد الطلب]]),ISBLANK(table1[[#This Row],[ميعاد التسليم]])),0,table1[[#This Row],[ميعاد التسليم]]-table1[[#This Row],[ميعاد الطلب]])</f>
        <v>21</v>
      </c>
      <c r="T13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23</v>
      </c>
      <c r="U13" s="83">
        <v>-2</v>
      </c>
      <c r="V13" s="83" t="str" cm="1">
        <f t="array" ref="V13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13" t="s">
        <v>197</v>
      </c>
      <c r="X13" t="s">
        <v>196</v>
      </c>
      <c r="Y13" s="1" t="str">
        <f>TRIM(table1[[#This Row],[الحالة]])</f>
        <v>تم التسليم</v>
      </c>
    </row>
    <row r="14" spans="1:25" ht="20.100000000000001" customHeight="1" x14ac:dyDescent="0.3">
      <c r="A14" t="s">
        <v>383</v>
      </c>
      <c r="B14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4" t="s">
        <v>48</v>
      </c>
      <c r="D14" t="s">
        <v>344</v>
      </c>
      <c r="E14" t="s">
        <v>7</v>
      </c>
      <c r="F14" t="s">
        <v>148</v>
      </c>
      <c r="G14" t="s">
        <v>163</v>
      </c>
      <c r="H14" t="s">
        <v>150</v>
      </c>
      <c r="I14">
        <v>80</v>
      </c>
      <c r="J14" t="s">
        <v>333</v>
      </c>
      <c r="K14" t="s">
        <v>333</v>
      </c>
      <c r="L14" t="s">
        <v>420</v>
      </c>
      <c r="M14" t="s">
        <v>49</v>
      </c>
      <c r="N14">
        <v>10499</v>
      </c>
      <c r="O14">
        <v>8924</v>
      </c>
      <c r="P14" s="68">
        <v>45536</v>
      </c>
      <c r="Q14" s="67">
        <v>45551</v>
      </c>
      <c r="R14" s="67">
        <v>45543</v>
      </c>
      <c r="S14" s="71">
        <f>IF(OR(ISBLANK(table1[[#This Row],[ميعاد الطلب]]),ISBLANK(table1[[#This Row],[ميعاد التسليم]])),0,table1[[#This Row],[ميعاد التسليم]]-table1[[#This Row],[ميعاد الطلب]])</f>
        <v>15</v>
      </c>
      <c r="T14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7</v>
      </c>
      <c r="U14" s="83">
        <v>8</v>
      </c>
      <c r="V14" s="83" t="str" cm="1">
        <f t="array" ref="V14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4" t="s">
        <v>27</v>
      </c>
      <c r="X14" t="s">
        <v>196</v>
      </c>
      <c r="Y14" s="1" t="str">
        <f>TRIM(table1[[#This Row],[الحالة]])</f>
        <v>تم التسليم</v>
      </c>
    </row>
    <row r="15" spans="1:25" ht="20.100000000000001" customHeight="1" x14ac:dyDescent="0.3">
      <c r="A15" t="s">
        <v>384</v>
      </c>
      <c r="B15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5" t="s">
        <v>276</v>
      </c>
      <c r="D15" t="s">
        <v>339</v>
      </c>
      <c r="E15" t="s">
        <v>7</v>
      </c>
      <c r="F15" t="s">
        <v>148</v>
      </c>
      <c r="G15" t="s">
        <v>151</v>
      </c>
      <c r="H15" t="s">
        <v>150</v>
      </c>
      <c r="I15">
        <v>80</v>
      </c>
      <c r="J15" t="s">
        <v>333</v>
      </c>
      <c r="K15" t="s">
        <v>333</v>
      </c>
      <c r="L15" t="s">
        <v>420</v>
      </c>
      <c r="M15" t="s">
        <v>65</v>
      </c>
      <c r="N15">
        <v>7295</v>
      </c>
      <c r="O15">
        <v>5895</v>
      </c>
      <c r="P15" s="68">
        <v>45540</v>
      </c>
      <c r="Q15" s="67">
        <v>45549</v>
      </c>
      <c r="R15" s="67"/>
      <c r="S15" s="71">
        <f>IF(OR(ISBLANK(table1[[#This Row],[ميعاد الطلب]]),ISBLANK(table1[[#This Row],[ميعاد التسليم]])),0,table1[[#This Row],[ميعاد التسليم]]-table1[[#This Row],[ميعاد الطلب]])</f>
        <v>9</v>
      </c>
      <c r="T15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15" s="83" t="s">
        <v>430</v>
      </c>
      <c r="V15" s="83" t="str" cm="1">
        <f t="array" ref="V15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15"/>
      <c r="X15" t="s">
        <v>234</v>
      </c>
      <c r="Y15" s="1" t="str">
        <f>TRIM(table1[[#This Row],[الحالة]])</f>
        <v>لاغى</v>
      </c>
    </row>
    <row r="16" spans="1:25" ht="20.100000000000001" customHeight="1" x14ac:dyDescent="0.3">
      <c r="A16" t="s">
        <v>385</v>
      </c>
      <c r="B16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6" t="s">
        <v>345</v>
      </c>
      <c r="D16" t="s">
        <v>344</v>
      </c>
      <c r="E16" t="s">
        <v>7</v>
      </c>
      <c r="F16" t="s">
        <v>155</v>
      </c>
      <c r="G16" t="s">
        <v>185</v>
      </c>
      <c r="H16"/>
      <c r="I16"/>
      <c r="J16" t="s">
        <v>420</v>
      </c>
      <c r="K16" t="s">
        <v>420</v>
      </c>
      <c r="L16" t="s">
        <v>420</v>
      </c>
      <c r="M16" t="s">
        <v>62</v>
      </c>
      <c r="N16">
        <v>7849</v>
      </c>
      <c r="O16" t="s">
        <v>15</v>
      </c>
      <c r="P16" s="68">
        <v>45539</v>
      </c>
      <c r="Q16" s="67">
        <v>45551</v>
      </c>
      <c r="R16" s="67">
        <v>45560</v>
      </c>
      <c r="S16" s="71">
        <f>IF(OR(ISBLANK(table1[[#This Row],[ميعاد الطلب]]),ISBLANK(table1[[#This Row],[ميعاد التسليم]])),0,table1[[#This Row],[ميعاد التسليم]]-table1[[#This Row],[ميعاد الطلب]])</f>
        <v>12</v>
      </c>
      <c r="T16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21</v>
      </c>
      <c r="U16" s="83">
        <v>-9</v>
      </c>
      <c r="V16" s="83" t="str" cm="1">
        <f t="array" ref="V16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16" t="s">
        <v>27</v>
      </c>
      <c r="X16" t="s">
        <v>206</v>
      </c>
      <c r="Y16" s="1" t="str">
        <f>TRIM(table1[[#This Row],[الحالة]])</f>
        <v>مرتجع</v>
      </c>
    </row>
    <row r="17" spans="1:25" ht="20.100000000000001" customHeight="1" x14ac:dyDescent="0.3">
      <c r="A17" t="s">
        <v>386</v>
      </c>
      <c r="B17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7" t="s">
        <v>33</v>
      </c>
      <c r="D17" t="s">
        <v>344</v>
      </c>
      <c r="E17" t="s">
        <v>415</v>
      </c>
      <c r="F17" t="s">
        <v>148</v>
      </c>
      <c r="G17" t="s">
        <v>163</v>
      </c>
      <c r="H17" t="s">
        <v>153</v>
      </c>
      <c r="I17">
        <v>120</v>
      </c>
      <c r="J17" t="s">
        <v>334</v>
      </c>
      <c r="K17" t="s">
        <v>334</v>
      </c>
      <c r="L17" t="s">
        <v>420</v>
      </c>
      <c r="M17" t="s">
        <v>56</v>
      </c>
      <c r="N17">
        <v>6180</v>
      </c>
      <c r="O17">
        <v>9700</v>
      </c>
      <c r="P17" s="68">
        <v>45538</v>
      </c>
      <c r="Q17" s="67">
        <v>45551</v>
      </c>
      <c r="R17" s="67">
        <v>45550</v>
      </c>
      <c r="S17" s="71">
        <f>IF(OR(ISBLANK(table1[[#This Row],[ميعاد الطلب]]),ISBLANK(table1[[#This Row],[ميعاد التسليم]])),0,table1[[#This Row],[ميعاد التسليم]]-table1[[#This Row],[ميعاد الطلب]])</f>
        <v>13</v>
      </c>
      <c r="T17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12</v>
      </c>
      <c r="U17" s="83">
        <v>1</v>
      </c>
      <c r="V17" s="83" t="str" cm="1">
        <f t="array" ref="V17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7" t="s">
        <v>197</v>
      </c>
      <c r="X17" t="s">
        <v>196</v>
      </c>
      <c r="Y17" s="1" t="str">
        <f>TRIM(table1[[#This Row],[الحالة]])</f>
        <v>تم التسليم</v>
      </c>
    </row>
    <row r="18" spans="1:25" ht="20.100000000000001" customHeight="1" x14ac:dyDescent="0.3">
      <c r="A18" t="s">
        <v>386</v>
      </c>
      <c r="B18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8" t="s">
        <v>33</v>
      </c>
      <c r="D18" t="s">
        <v>344</v>
      </c>
      <c r="E18" t="s">
        <v>415</v>
      </c>
      <c r="F18" t="s">
        <v>148</v>
      </c>
      <c r="G18" t="s">
        <v>163</v>
      </c>
      <c r="H18" t="s">
        <v>153</v>
      </c>
      <c r="I18">
        <v>120</v>
      </c>
      <c r="J18" t="s">
        <v>334</v>
      </c>
      <c r="K18" t="s">
        <v>334</v>
      </c>
      <c r="L18" t="s">
        <v>420</v>
      </c>
      <c r="M18" t="s">
        <v>56</v>
      </c>
      <c r="N18">
        <v>6180</v>
      </c>
      <c r="O18">
        <v>9700</v>
      </c>
      <c r="P18" s="68">
        <v>45538</v>
      </c>
      <c r="Q18" s="67">
        <v>45551</v>
      </c>
      <c r="R18" s="67">
        <v>45550</v>
      </c>
      <c r="S18" s="71">
        <f>IF(OR(ISBLANK(table1[[#This Row],[ميعاد الطلب]]),ISBLANK(table1[[#This Row],[ميعاد التسليم]])),0,table1[[#This Row],[ميعاد التسليم]]-table1[[#This Row],[ميعاد الطلب]])</f>
        <v>13</v>
      </c>
      <c r="T18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12</v>
      </c>
      <c r="U18" s="83">
        <v>1</v>
      </c>
      <c r="V18" s="83" t="str" cm="1">
        <f t="array" ref="V18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8" t="s">
        <v>197</v>
      </c>
      <c r="X18" t="s">
        <v>196</v>
      </c>
      <c r="Y18" s="1" t="str">
        <f>TRIM(table1[[#This Row],[الحالة]])</f>
        <v>تم التسليم</v>
      </c>
    </row>
    <row r="19" spans="1:25" ht="20.100000000000001" customHeight="1" x14ac:dyDescent="0.3">
      <c r="A19" t="s">
        <v>57</v>
      </c>
      <c r="B19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9" t="s">
        <v>346</v>
      </c>
      <c r="D19" t="s">
        <v>344</v>
      </c>
      <c r="E19" t="s">
        <v>7</v>
      </c>
      <c r="F19" t="s">
        <v>148</v>
      </c>
      <c r="G19" t="s">
        <v>163</v>
      </c>
      <c r="H19" t="s">
        <v>152</v>
      </c>
      <c r="I19">
        <v>80</v>
      </c>
      <c r="J19" t="s">
        <v>333</v>
      </c>
      <c r="K19" t="s">
        <v>333</v>
      </c>
      <c r="L19" t="s">
        <v>420</v>
      </c>
      <c r="M19" t="s">
        <v>59</v>
      </c>
      <c r="N19">
        <v>11199</v>
      </c>
      <c r="O19">
        <v>11310</v>
      </c>
      <c r="P19" s="68">
        <v>45539</v>
      </c>
      <c r="Q19" s="67">
        <v>45553</v>
      </c>
      <c r="R19" s="67"/>
      <c r="S19" s="71">
        <f>IF(OR(ISBLANK(table1[[#This Row],[ميعاد الطلب]]),ISBLANK(table1[[#This Row],[ميعاد التسليم]])),0,table1[[#This Row],[ميعاد التسليم]]-table1[[#This Row],[ميعاد الطلب]])</f>
        <v>14</v>
      </c>
      <c r="T19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19" s="83" t="s">
        <v>430</v>
      </c>
      <c r="V19" s="83" t="str" cm="1">
        <f t="array" ref="V19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19"/>
      <c r="X19" t="s">
        <v>234</v>
      </c>
      <c r="Y19" s="1" t="str">
        <f>TRIM(table1[[#This Row],[الحالة]])</f>
        <v>لاغى</v>
      </c>
    </row>
    <row r="20" spans="1:25" ht="20.100000000000001" customHeight="1" x14ac:dyDescent="0.3">
      <c r="A20" t="s">
        <v>382</v>
      </c>
      <c r="B20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20" t="s">
        <v>66</v>
      </c>
      <c r="D20" t="s">
        <v>344</v>
      </c>
      <c r="E20" t="s">
        <v>7</v>
      </c>
      <c r="F20" t="s">
        <v>148</v>
      </c>
      <c r="G20" t="s">
        <v>151</v>
      </c>
      <c r="H20" t="s">
        <v>175</v>
      </c>
      <c r="I20">
        <v>80</v>
      </c>
      <c r="J20" t="s">
        <v>333</v>
      </c>
      <c r="K20" t="s">
        <v>333</v>
      </c>
      <c r="L20" t="s">
        <v>420</v>
      </c>
      <c r="M20" t="s">
        <v>67</v>
      </c>
      <c r="N20">
        <v>7987</v>
      </c>
      <c r="O20" t="s">
        <v>15</v>
      </c>
      <c r="P20" s="68">
        <v>45541</v>
      </c>
      <c r="Q20" s="67">
        <v>45551</v>
      </c>
      <c r="R20" s="67">
        <v>45556</v>
      </c>
      <c r="S20" s="71">
        <f>IF(OR(ISBLANK(table1[[#This Row],[ميعاد الطلب]]),ISBLANK(table1[[#This Row],[ميعاد التسليم]])),0,table1[[#This Row],[ميعاد التسليم]]-table1[[#This Row],[ميعاد الطلب]])</f>
        <v>10</v>
      </c>
      <c r="T20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15</v>
      </c>
      <c r="U20" s="83">
        <v>-5</v>
      </c>
      <c r="V20" s="83" t="str" cm="1">
        <f t="array" ref="V20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20" t="s">
        <v>197</v>
      </c>
      <c r="X20" t="s">
        <v>196</v>
      </c>
      <c r="Y20" s="1" t="str">
        <f>TRIM(table1[[#This Row],[الحالة]])</f>
        <v>تم التسليم</v>
      </c>
    </row>
    <row r="21" spans="1:25" ht="20.100000000000001" customHeight="1" x14ac:dyDescent="0.3">
      <c r="A21" t="s">
        <v>42</v>
      </c>
      <c r="B21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21" t="s">
        <v>41</v>
      </c>
      <c r="D21" t="s">
        <v>344</v>
      </c>
      <c r="E21" t="s">
        <v>42</v>
      </c>
      <c r="F21" t="s">
        <v>160</v>
      </c>
      <c r="G21" t="s">
        <v>161</v>
      </c>
      <c r="H21"/>
      <c r="I21"/>
      <c r="J21" t="s">
        <v>420</v>
      </c>
      <c r="K21" t="s">
        <v>420</v>
      </c>
      <c r="L21" t="s">
        <v>420</v>
      </c>
      <c r="M21" t="s">
        <v>63</v>
      </c>
      <c r="N21">
        <v>9300</v>
      </c>
      <c r="O21">
        <v>9300</v>
      </c>
      <c r="P21" s="68">
        <v>45539</v>
      </c>
      <c r="Q21" s="67">
        <v>45550</v>
      </c>
      <c r="R21" s="67">
        <v>45552</v>
      </c>
      <c r="S21" s="71">
        <f>IF(OR(ISBLANK(table1[[#This Row],[ميعاد الطلب]]),ISBLANK(table1[[#This Row],[ميعاد التسليم]])),0,table1[[#This Row],[ميعاد التسليم]]-table1[[#This Row],[ميعاد الطلب]])</f>
        <v>11</v>
      </c>
      <c r="T21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13</v>
      </c>
      <c r="U21" s="83">
        <v>-2</v>
      </c>
      <c r="V21" s="83" t="str" cm="1">
        <f t="array" ref="V21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21" t="s">
        <v>197</v>
      </c>
      <c r="X21" t="s">
        <v>196</v>
      </c>
      <c r="Y21" s="1" t="str">
        <f>TRIM(table1[[#This Row],[الحالة]])</f>
        <v>تم التسليم</v>
      </c>
    </row>
    <row r="22" spans="1:25" ht="20.100000000000001" customHeight="1" x14ac:dyDescent="0.3">
      <c r="A22" t="s">
        <v>382</v>
      </c>
      <c r="B22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22" t="s">
        <v>66</v>
      </c>
      <c r="D22" t="s">
        <v>344</v>
      </c>
      <c r="E22" t="s">
        <v>7</v>
      </c>
      <c r="F22" t="s">
        <v>148</v>
      </c>
      <c r="G22" t="s">
        <v>151</v>
      </c>
      <c r="H22" t="s">
        <v>175</v>
      </c>
      <c r="I22">
        <v>80</v>
      </c>
      <c r="J22" t="s">
        <v>333</v>
      </c>
      <c r="K22" t="s">
        <v>333</v>
      </c>
      <c r="L22" t="s">
        <v>420</v>
      </c>
      <c r="M22" t="s">
        <v>67</v>
      </c>
      <c r="N22">
        <v>7987</v>
      </c>
      <c r="O22" t="s">
        <v>15</v>
      </c>
      <c r="P22" s="68">
        <v>45541</v>
      </c>
      <c r="Q22" s="67">
        <v>45551</v>
      </c>
      <c r="R22" s="67">
        <v>45556</v>
      </c>
      <c r="S22" s="71">
        <f>IF(OR(ISBLANK(table1[[#This Row],[ميعاد الطلب]]),ISBLANK(table1[[#This Row],[ميعاد التسليم]])),0,table1[[#This Row],[ميعاد التسليم]]-table1[[#This Row],[ميعاد الطلب]])</f>
        <v>10</v>
      </c>
      <c r="T22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15</v>
      </c>
      <c r="U22" s="83">
        <v>-5</v>
      </c>
      <c r="V22" s="83" t="str" cm="1">
        <f t="array" ref="V22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22" t="s">
        <v>197</v>
      </c>
      <c r="X22" t="s">
        <v>196</v>
      </c>
      <c r="Y22" s="1" t="str">
        <f>TRIM(table1[[#This Row],[الحالة]])</f>
        <v>تم التسليم</v>
      </c>
    </row>
    <row r="23" spans="1:25" ht="20.100000000000001" customHeight="1" x14ac:dyDescent="0.3">
      <c r="A23" t="s">
        <v>382</v>
      </c>
      <c r="B23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23" t="s">
        <v>66</v>
      </c>
      <c r="D23" t="s">
        <v>344</v>
      </c>
      <c r="E23" t="s">
        <v>7</v>
      </c>
      <c r="F23" t="s">
        <v>148</v>
      </c>
      <c r="G23" t="s">
        <v>151</v>
      </c>
      <c r="H23" t="s">
        <v>175</v>
      </c>
      <c r="I23">
        <v>80</v>
      </c>
      <c r="J23" t="s">
        <v>333</v>
      </c>
      <c r="K23" t="s">
        <v>333</v>
      </c>
      <c r="L23" t="s">
        <v>420</v>
      </c>
      <c r="M23" t="s">
        <v>67</v>
      </c>
      <c r="N23">
        <v>7987</v>
      </c>
      <c r="O23" t="s">
        <v>15</v>
      </c>
      <c r="P23" s="68">
        <v>45541</v>
      </c>
      <c r="Q23" s="67">
        <v>45551</v>
      </c>
      <c r="R23" s="67">
        <v>45556</v>
      </c>
      <c r="S23" s="71">
        <f>IF(OR(ISBLANK(table1[[#This Row],[ميعاد الطلب]]),ISBLANK(table1[[#This Row],[ميعاد التسليم]])),0,table1[[#This Row],[ميعاد التسليم]]-table1[[#This Row],[ميعاد الطلب]])</f>
        <v>10</v>
      </c>
      <c r="T23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15</v>
      </c>
      <c r="U23" s="83">
        <v>-5</v>
      </c>
      <c r="V23" s="83" t="str" cm="1">
        <f t="array" ref="V23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23" t="s">
        <v>197</v>
      </c>
      <c r="X23" t="s">
        <v>196</v>
      </c>
      <c r="Y23" s="1" t="str">
        <f>TRIM(table1[[#This Row],[الحالة]])</f>
        <v>تم التسليم</v>
      </c>
    </row>
    <row r="24" spans="1:25" ht="20.100000000000001" customHeight="1" x14ac:dyDescent="0.3">
      <c r="A24" t="s">
        <v>382</v>
      </c>
      <c r="B24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24" t="s">
        <v>66</v>
      </c>
      <c r="D24" t="s">
        <v>344</v>
      </c>
      <c r="E24" t="s">
        <v>7</v>
      </c>
      <c r="F24" t="s">
        <v>148</v>
      </c>
      <c r="G24" t="s">
        <v>151</v>
      </c>
      <c r="H24" t="s">
        <v>175</v>
      </c>
      <c r="I24">
        <v>80</v>
      </c>
      <c r="J24" t="s">
        <v>333</v>
      </c>
      <c r="K24" t="s">
        <v>333</v>
      </c>
      <c r="L24" t="s">
        <v>420</v>
      </c>
      <c r="M24" t="s">
        <v>67</v>
      </c>
      <c r="N24">
        <v>7987</v>
      </c>
      <c r="O24" t="s">
        <v>15</v>
      </c>
      <c r="P24" s="68">
        <v>45541</v>
      </c>
      <c r="Q24" s="67">
        <v>45551</v>
      </c>
      <c r="R24" s="67">
        <v>45556</v>
      </c>
      <c r="S24" s="71">
        <f>IF(OR(ISBLANK(table1[[#This Row],[ميعاد الطلب]]),ISBLANK(table1[[#This Row],[ميعاد التسليم]])),0,table1[[#This Row],[ميعاد التسليم]]-table1[[#This Row],[ميعاد الطلب]])</f>
        <v>10</v>
      </c>
      <c r="T24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15</v>
      </c>
      <c r="U24" s="83">
        <v>-5</v>
      </c>
      <c r="V24" s="83" t="str" cm="1">
        <f t="array" ref="V24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24" t="s">
        <v>197</v>
      </c>
      <c r="X24" t="s">
        <v>196</v>
      </c>
      <c r="Y24" s="1" t="str">
        <f>TRIM(table1[[#This Row],[الحالة]])</f>
        <v>تم التسليم</v>
      </c>
    </row>
    <row r="25" spans="1:25" ht="20.100000000000001" customHeight="1" x14ac:dyDescent="0.3">
      <c r="A25" t="s">
        <v>104</v>
      </c>
      <c r="B25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25" t="s">
        <v>105</v>
      </c>
      <c r="D25" t="s">
        <v>344</v>
      </c>
      <c r="E25" t="s">
        <v>7</v>
      </c>
      <c r="F25" t="s">
        <v>155</v>
      </c>
      <c r="G25" t="s">
        <v>185</v>
      </c>
      <c r="H25"/>
      <c r="I25"/>
      <c r="J25" t="s">
        <v>420</v>
      </c>
      <c r="K25" t="s">
        <v>420</v>
      </c>
      <c r="L25" t="s">
        <v>420</v>
      </c>
      <c r="M25" t="s">
        <v>62</v>
      </c>
      <c r="N25">
        <v>8849</v>
      </c>
      <c r="O25" t="s">
        <v>15</v>
      </c>
      <c r="P25" s="68">
        <v>45538</v>
      </c>
      <c r="Q25" s="67">
        <v>45581</v>
      </c>
      <c r="R25" s="67"/>
      <c r="S25" s="71">
        <f>IF(OR(ISBLANK(table1[[#This Row],[ميعاد الطلب]]),ISBLANK(table1[[#This Row],[ميعاد التسليم]])),0,table1[[#This Row],[ميعاد التسليم]]-table1[[#This Row],[ميعاد الطلب]])</f>
        <v>43</v>
      </c>
      <c r="T25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25" s="83" t="s">
        <v>430</v>
      </c>
      <c r="V25" s="83" t="str" cm="1">
        <f t="array" ref="V25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25"/>
      <c r="X25" t="s">
        <v>234</v>
      </c>
      <c r="Y25" s="1" t="str">
        <f>TRIM(table1[[#This Row],[الحالة]])</f>
        <v>لاغى</v>
      </c>
    </row>
    <row r="26" spans="1:25" ht="20.100000000000001" customHeight="1" x14ac:dyDescent="0.3">
      <c r="A26" t="s">
        <v>68</v>
      </c>
      <c r="B26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26" t="s">
        <v>276</v>
      </c>
      <c r="D26" t="s">
        <v>339</v>
      </c>
      <c r="E26" t="s">
        <v>7</v>
      </c>
      <c r="F26" t="s">
        <v>148</v>
      </c>
      <c r="G26" t="s">
        <v>151</v>
      </c>
      <c r="H26" t="s">
        <v>154</v>
      </c>
      <c r="I26">
        <v>120</v>
      </c>
      <c r="J26" t="s">
        <v>333</v>
      </c>
      <c r="K26" t="s">
        <v>333</v>
      </c>
      <c r="L26" t="s">
        <v>420</v>
      </c>
      <c r="M26" t="s">
        <v>69</v>
      </c>
      <c r="N26">
        <v>10987</v>
      </c>
      <c r="O26" t="s">
        <v>15</v>
      </c>
      <c r="P26" s="68">
        <v>45544</v>
      </c>
      <c r="Q26" s="67">
        <v>45552</v>
      </c>
      <c r="R26" s="67">
        <v>45556</v>
      </c>
      <c r="S26" s="71">
        <f>IF(OR(ISBLANK(table1[[#This Row],[ميعاد الطلب]]),ISBLANK(table1[[#This Row],[ميعاد التسليم]])),0,table1[[#This Row],[ميعاد التسليم]]-table1[[#This Row],[ميعاد الطلب]])</f>
        <v>8</v>
      </c>
      <c r="T26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12</v>
      </c>
      <c r="U26" s="83">
        <v>-4</v>
      </c>
      <c r="V26" s="83" t="str" cm="1">
        <f t="array" ref="V26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26" t="s">
        <v>197</v>
      </c>
      <c r="X26" t="s">
        <v>196</v>
      </c>
      <c r="Y26" s="1" t="str">
        <f>TRIM(table1[[#This Row],[الحالة]])</f>
        <v>تم التسليم</v>
      </c>
    </row>
    <row r="27" spans="1:25" ht="20.100000000000001" customHeight="1" x14ac:dyDescent="0.3">
      <c r="A27" t="s">
        <v>51</v>
      </c>
      <c r="B27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27"/>
      <c r="D27" t="e">
        <v>#N/A</v>
      </c>
      <c r="E27" t="s">
        <v>51</v>
      </c>
      <c r="F27" t="s">
        <v>148</v>
      </c>
      <c r="G27" t="s">
        <v>163</v>
      </c>
      <c r="H27" t="s">
        <v>152</v>
      </c>
      <c r="I27">
        <v>100</v>
      </c>
      <c r="J27" t="s">
        <v>333</v>
      </c>
      <c r="K27" t="s">
        <v>333</v>
      </c>
      <c r="L27" t="s">
        <v>420</v>
      </c>
      <c r="M27" t="s">
        <v>50</v>
      </c>
      <c r="N27">
        <v>9208</v>
      </c>
      <c r="O27">
        <v>5781.75</v>
      </c>
      <c r="P27" s="68">
        <v>45536</v>
      </c>
      <c r="Q27" s="67">
        <v>45554</v>
      </c>
      <c r="R27" s="67">
        <v>45556</v>
      </c>
      <c r="S27" s="71">
        <f>IF(OR(ISBLANK(table1[[#This Row],[ميعاد الطلب]]),ISBLANK(table1[[#This Row],[ميعاد التسليم]])),0,table1[[#This Row],[ميعاد التسليم]]-table1[[#This Row],[ميعاد الطلب]])</f>
        <v>18</v>
      </c>
      <c r="T27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20</v>
      </c>
      <c r="U27" s="83">
        <v>-2</v>
      </c>
      <c r="V27" s="83" t="str" cm="1">
        <f t="array" ref="V27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27" t="s">
        <v>197</v>
      </c>
      <c r="X27" t="s">
        <v>196</v>
      </c>
      <c r="Y27" s="1" t="str">
        <f>TRIM(table1[[#This Row],[الحالة]])</f>
        <v>تم التسليم</v>
      </c>
    </row>
    <row r="28" spans="1:25" ht="20.100000000000001" customHeight="1" x14ac:dyDescent="0.3">
      <c r="A28" t="s">
        <v>51</v>
      </c>
      <c r="B28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28"/>
      <c r="D28" t="e">
        <v>#N/A</v>
      </c>
      <c r="E28" t="s">
        <v>51</v>
      </c>
      <c r="F28" t="s">
        <v>148</v>
      </c>
      <c r="G28" t="s">
        <v>163</v>
      </c>
      <c r="H28" t="s">
        <v>152</v>
      </c>
      <c r="I28">
        <v>100</v>
      </c>
      <c r="J28" t="s">
        <v>334</v>
      </c>
      <c r="K28" t="s">
        <v>334</v>
      </c>
      <c r="L28" t="s">
        <v>420</v>
      </c>
      <c r="M28" t="s">
        <v>52</v>
      </c>
      <c r="N28">
        <v>9208</v>
      </c>
      <c r="O28">
        <v>1278.53</v>
      </c>
      <c r="P28" s="68">
        <v>45536</v>
      </c>
      <c r="Q28" s="67">
        <v>45554</v>
      </c>
      <c r="R28" s="67">
        <v>45556</v>
      </c>
      <c r="S28" s="71">
        <f>IF(OR(ISBLANK(table1[[#This Row],[ميعاد الطلب]]),ISBLANK(table1[[#This Row],[ميعاد التسليم]])),0,table1[[#This Row],[ميعاد التسليم]]-table1[[#This Row],[ميعاد الطلب]])</f>
        <v>18</v>
      </c>
      <c r="T28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20</v>
      </c>
      <c r="U28" s="83">
        <v>-2</v>
      </c>
      <c r="V28" s="83" t="str" cm="1">
        <f t="array" ref="V28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28" t="s">
        <v>197</v>
      </c>
      <c r="X28" t="s">
        <v>196</v>
      </c>
      <c r="Y28" s="1" t="str">
        <f>TRIM(table1[[#This Row],[الحالة]])</f>
        <v>تم التسليم</v>
      </c>
    </row>
    <row r="29" spans="1:25" ht="20.100000000000001" customHeight="1" x14ac:dyDescent="0.3">
      <c r="A29" t="s">
        <v>81</v>
      </c>
      <c r="B29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29" t="s">
        <v>347</v>
      </c>
      <c r="D29" t="s">
        <v>348</v>
      </c>
      <c r="E29" t="s">
        <v>415</v>
      </c>
      <c r="F29" t="s">
        <v>148</v>
      </c>
      <c r="G29" t="s">
        <v>151</v>
      </c>
      <c r="H29" t="s">
        <v>175</v>
      </c>
      <c r="I29">
        <v>120</v>
      </c>
      <c r="J29" t="s">
        <v>333</v>
      </c>
      <c r="K29" t="s">
        <v>333</v>
      </c>
      <c r="L29" t="s">
        <v>420</v>
      </c>
      <c r="M29" t="s">
        <v>85</v>
      </c>
      <c r="N29">
        <v>4020</v>
      </c>
      <c r="O29" t="s">
        <v>83</v>
      </c>
      <c r="P29" s="68">
        <v>45547</v>
      </c>
      <c r="Q29" s="67">
        <v>45556</v>
      </c>
      <c r="R29" s="67">
        <v>45557</v>
      </c>
      <c r="S29" s="71">
        <f>IF(OR(ISBLANK(table1[[#This Row],[ميعاد الطلب]]),ISBLANK(table1[[#This Row],[ميعاد التسليم]])),0,table1[[#This Row],[ميعاد التسليم]]-table1[[#This Row],[ميعاد الطلب]])</f>
        <v>9</v>
      </c>
      <c r="T29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10</v>
      </c>
      <c r="U29" s="83">
        <v>-1</v>
      </c>
      <c r="V29" s="83" t="str" cm="1">
        <f t="array" ref="V29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29" t="s">
        <v>197</v>
      </c>
      <c r="X29" t="s">
        <v>196</v>
      </c>
      <c r="Y29" s="1" t="str">
        <f>TRIM(table1[[#This Row],[الحالة]])</f>
        <v>تم التسليم</v>
      </c>
    </row>
    <row r="30" spans="1:25" ht="20.100000000000001" customHeight="1" x14ac:dyDescent="0.3">
      <c r="A30" t="s">
        <v>81</v>
      </c>
      <c r="B30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30" t="s">
        <v>347</v>
      </c>
      <c r="D30" t="s">
        <v>348</v>
      </c>
      <c r="E30" t="s">
        <v>415</v>
      </c>
      <c r="F30" t="s">
        <v>148</v>
      </c>
      <c r="G30" t="s">
        <v>151</v>
      </c>
      <c r="H30" t="s">
        <v>175</v>
      </c>
      <c r="I30">
        <v>120</v>
      </c>
      <c r="J30" t="s">
        <v>333</v>
      </c>
      <c r="K30" t="s">
        <v>333</v>
      </c>
      <c r="L30" t="s">
        <v>420</v>
      </c>
      <c r="M30" t="s">
        <v>85</v>
      </c>
      <c r="N30">
        <v>4020</v>
      </c>
      <c r="O30" t="s">
        <v>83</v>
      </c>
      <c r="P30" s="68">
        <v>45547</v>
      </c>
      <c r="Q30" s="67">
        <v>45556</v>
      </c>
      <c r="R30" s="67">
        <v>45557</v>
      </c>
      <c r="S30" s="71">
        <f>IF(OR(ISBLANK(table1[[#This Row],[ميعاد الطلب]]),ISBLANK(table1[[#This Row],[ميعاد التسليم]])),0,table1[[#This Row],[ميعاد التسليم]]-table1[[#This Row],[ميعاد الطلب]])</f>
        <v>9</v>
      </c>
      <c r="T30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10</v>
      </c>
      <c r="U30" s="83">
        <v>-1</v>
      </c>
      <c r="V30" s="83" t="str" cm="1">
        <f t="array" ref="V30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30" t="s">
        <v>197</v>
      </c>
      <c r="X30" t="s">
        <v>196</v>
      </c>
      <c r="Y30" s="1" t="str">
        <f>TRIM(table1[[#This Row],[الحالة]])</f>
        <v>تم التسليم</v>
      </c>
    </row>
    <row r="31" spans="1:25" ht="20.100000000000001" customHeight="1" x14ac:dyDescent="0.3">
      <c r="A31" t="s">
        <v>81</v>
      </c>
      <c r="B31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31" t="s">
        <v>347</v>
      </c>
      <c r="D31" t="s">
        <v>348</v>
      </c>
      <c r="E31" t="s">
        <v>415</v>
      </c>
      <c r="F31" t="s">
        <v>148</v>
      </c>
      <c r="G31" t="s">
        <v>151</v>
      </c>
      <c r="H31" t="s">
        <v>167</v>
      </c>
      <c r="I31">
        <v>120</v>
      </c>
      <c r="J31" t="s">
        <v>334</v>
      </c>
      <c r="K31" t="s">
        <v>334</v>
      </c>
      <c r="L31" t="s">
        <v>420</v>
      </c>
      <c r="M31" t="s">
        <v>84</v>
      </c>
      <c r="N31">
        <v>4020</v>
      </c>
      <c r="O31" t="s">
        <v>113</v>
      </c>
      <c r="P31" s="68">
        <v>45547</v>
      </c>
      <c r="Q31" s="67">
        <v>45556</v>
      </c>
      <c r="R31" s="67">
        <v>45557</v>
      </c>
      <c r="S31" s="71">
        <f>IF(OR(ISBLANK(table1[[#This Row],[ميعاد الطلب]]),ISBLANK(table1[[#This Row],[ميعاد التسليم]])),0,table1[[#This Row],[ميعاد التسليم]]-table1[[#This Row],[ميعاد الطلب]])</f>
        <v>9</v>
      </c>
      <c r="T31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10</v>
      </c>
      <c r="U31" s="83">
        <v>-1</v>
      </c>
      <c r="V31" s="83" t="str" cm="1">
        <f t="array" ref="V31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31" t="s">
        <v>197</v>
      </c>
      <c r="X31" t="s">
        <v>196</v>
      </c>
      <c r="Y31" s="1" t="str">
        <f>TRIM(table1[[#This Row],[الحالة]])</f>
        <v>تم التسليم</v>
      </c>
    </row>
    <row r="32" spans="1:25" ht="20.100000000000001" customHeight="1" x14ac:dyDescent="0.3">
      <c r="A32" t="s">
        <v>81</v>
      </c>
      <c r="B32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32" t="s">
        <v>347</v>
      </c>
      <c r="D32" t="s">
        <v>348</v>
      </c>
      <c r="E32" t="s">
        <v>415</v>
      </c>
      <c r="F32" t="s">
        <v>148</v>
      </c>
      <c r="G32" t="s">
        <v>151</v>
      </c>
      <c r="H32" t="s">
        <v>167</v>
      </c>
      <c r="I32">
        <v>120</v>
      </c>
      <c r="J32" t="s">
        <v>334</v>
      </c>
      <c r="K32" t="s">
        <v>334</v>
      </c>
      <c r="L32" t="s">
        <v>420</v>
      </c>
      <c r="M32" t="s">
        <v>84</v>
      </c>
      <c r="N32">
        <v>4020</v>
      </c>
      <c r="O32" t="s">
        <v>113</v>
      </c>
      <c r="P32" s="68">
        <v>45547</v>
      </c>
      <c r="Q32" s="67">
        <v>45556</v>
      </c>
      <c r="R32" s="67">
        <v>45557</v>
      </c>
      <c r="S32" s="71">
        <f>IF(OR(ISBLANK(table1[[#This Row],[ميعاد الطلب]]),ISBLANK(table1[[#This Row],[ميعاد التسليم]])),0,table1[[#This Row],[ميعاد التسليم]]-table1[[#This Row],[ميعاد الطلب]])</f>
        <v>9</v>
      </c>
      <c r="T32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10</v>
      </c>
      <c r="U32" s="83">
        <v>-1</v>
      </c>
      <c r="V32" s="83" t="str" cm="1">
        <f t="array" ref="V32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32" t="s">
        <v>197</v>
      </c>
      <c r="X32" t="s">
        <v>196</v>
      </c>
      <c r="Y32" s="1" t="str">
        <f>TRIM(table1[[#This Row],[الحالة]])</f>
        <v>تم التسليم</v>
      </c>
    </row>
    <row r="33" spans="1:25" ht="20.100000000000001" customHeight="1" x14ac:dyDescent="0.3">
      <c r="A33" t="s">
        <v>141</v>
      </c>
      <c r="B33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33" t="s">
        <v>142</v>
      </c>
      <c r="D33" t="s">
        <v>349</v>
      </c>
      <c r="E33" t="s">
        <v>7</v>
      </c>
      <c r="F33" t="s">
        <v>148</v>
      </c>
      <c r="G33" t="s">
        <v>149</v>
      </c>
      <c r="H33"/>
      <c r="I33"/>
      <c r="J33" t="s">
        <v>334</v>
      </c>
      <c r="K33" t="s">
        <v>334</v>
      </c>
      <c r="L33" t="s">
        <v>334</v>
      </c>
      <c r="M33" t="s">
        <v>143</v>
      </c>
      <c r="N33">
        <v>9399</v>
      </c>
      <c r="O33" t="s">
        <v>113</v>
      </c>
      <c r="P33" s="68" t="s">
        <v>367</v>
      </c>
      <c r="Q33" s="67">
        <v>45557</v>
      </c>
      <c r="R33" s="67"/>
      <c r="S33" s="71"/>
      <c r="T33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33" s="83" t="s">
        <v>430</v>
      </c>
      <c r="V33" s="83" t="str" cm="1">
        <f t="array" ref="V33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33" t="s">
        <v>36</v>
      </c>
      <c r="X33" t="s">
        <v>190</v>
      </c>
      <c r="Y33" s="1" t="str">
        <f>TRIM(table1[[#This Row],[الحالة]])</f>
        <v>فشل التسليم</v>
      </c>
    </row>
    <row r="34" spans="1:25" ht="20.100000000000001" customHeight="1" x14ac:dyDescent="0.3">
      <c r="A34" t="s">
        <v>145</v>
      </c>
      <c r="B34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34" t="s">
        <v>350</v>
      </c>
      <c r="D34" t="s">
        <v>340</v>
      </c>
      <c r="E34" t="s">
        <v>7</v>
      </c>
      <c r="F34" t="s">
        <v>155</v>
      </c>
      <c r="G34" t="s">
        <v>187</v>
      </c>
      <c r="H34"/>
      <c r="I34"/>
      <c r="J34" t="s">
        <v>420</v>
      </c>
      <c r="K34" t="s">
        <v>420</v>
      </c>
      <c r="L34" t="s">
        <v>420</v>
      </c>
      <c r="M34" t="s">
        <v>147</v>
      </c>
      <c r="N34">
        <v>8349</v>
      </c>
      <c r="O34" t="s">
        <v>113</v>
      </c>
      <c r="P34" s="68">
        <v>45549</v>
      </c>
      <c r="Q34" s="67">
        <v>45557</v>
      </c>
      <c r="R34" s="67">
        <v>45559</v>
      </c>
      <c r="S34" s="71">
        <f>IF(OR(ISBLANK(table1[[#This Row],[ميعاد الطلب]]),ISBLANK(table1[[#This Row],[ميعاد التسليم]])),0,table1[[#This Row],[ميعاد التسليم]]-table1[[#This Row],[ميعاد الطلب]])</f>
        <v>8</v>
      </c>
      <c r="T34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10</v>
      </c>
      <c r="U34" s="83">
        <v>-2</v>
      </c>
      <c r="V34" s="83" t="str" cm="1">
        <f t="array" ref="V34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34" t="s">
        <v>27</v>
      </c>
      <c r="X34" t="s">
        <v>196</v>
      </c>
      <c r="Y34" s="1" t="str">
        <f>TRIM(table1[[#This Row],[الحالة]])</f>
        <v>تم التسليم</v>
      </c>
    </row>
    <row r="35" spans="1:25" ht="20.100000000000001" customHeight="1" x14ac:dyDescent="0.3">
      <c r="A35" t="s">
        <v>387</v>
      </c>
      <c r="B35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35" t="s">
        <v>276</v>
      </c>
      <c r="D35" t="s">
        <v>339</v>
      </c>
      <c r="E35" t="s">
        <v>7</v>
      </c>
      <c r="F35" t="s">
        <v>148</v>
      </c>
      <c r="G35" t="s">
        <v>149</v>
      </c>
      <c r="H35"/>
      <c r="I35"/>
      <c r="J35" t="s">
        <v>334</v>
      </c>
      <c r="K35" t="s">
        <v>334</v>
      </c>
      <c r="L35" t="s">
        <v>334</v>
      </c>
      <c r="M35" t="s">
        <v>103</v>
      </c>
      <c r="N35">
        <v>9399</v>
      </c>
      <c r="O35" t="s">
        <v>15</v>
      </c>
      <c r="P35" s="68">
        <v>45548</v>
      </c>
      <c r="Q35" s="67">
        <v>45559</v>
      </c>
      <c r="R35" s="67">
        <v>45565</v>
      </c>
      <c r="S35" s="71">
        <f>IF(OR(ISBLANK(table1[[#This Row],[ميعاد الطلب]]),ISBLANK(table1[[#This Row],[ميعاد التسليم]])),0,table1[[#This Row],[ميعاد التسليم]]-table1[[#This Row],[ميعاد الطلب]])</f>
        <v>11</v>
      </c>
      <c r="T35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17</v>
      </c>
      <c r="U35" s="83">
        <v>-6</v>
      </c>
      <c r="V35" s="83" t="str" cm="1">
        <f t="array" ref="V35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35" t="s">
        <v>27</v>
      </c>
      <c r="X35" t="s">
        <v>196</v>
      </c>
      <c r="Y35" s="1" t="str">
        <f>TRIM(table1[[#This Row],[الحالة]])</f>
        <v>تم التسليم</v>
      </c>
    </row>
    <row r="36" spans="1:25" ht="20.100000000000001" customHeight="1" x14ac:dyDescent="0.3">
      <c r="A36" t="s">
        <v>388</v>
      </c>
      <c r="B36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36" t="s">
        <v>308</v>
      </c>
      <c r="D36" t="s">
        <v>344</v>
      </c>
      <c r="E36" t="s">
        <v>7</v>
      </c>
      <c r="F36" t="s">
        <v>155</v>
      </c>
      <c r="G36" t="s">
        <v>185</v>
      </c>
      <c r="H36"/>
      <c r="I36"/>
      <c r="J36" t="s">
        <v>420</v>
      </c>
      <c r="K36" t="s">
        <v>420</v>
      </c>
      <c r="L36" t="s">
        <v>420</v>
      </c>
      <c r="M36" t="s">
        <v>62</v>
      </c>
      <c r="N36">
        <v>7849</v>
      </c>
      <c r="O36">
        <v>7928</v>
      </c>
      <c r="P36" s="68">
        <v>45547</v>
      </c>
      <c r="Q36" s="67">
        <v>45561</v>
      </c>
      <c r="R36" s="67"/>
      <c r="S36" s="71">
        <f>IF(OR(ISBLANK(table1[[#This Row],[ميعاد الطلب]]),ISBLANK(table1[[#This Row],[ميعاد التسليم]])),0,table1[[#This Row],[ميعاد التسليم]]-table1[[#This Row],[ميعاد الطلب]])</f>
        <v>14</v>
      </c>
      <c r="T36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36" s="83" t="s">
        <v>430</v>
      </c>
      <c r="V36" s="83" t="str" cm="1">
        <f t="array" ref="V36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36" t="s">
        <v>27</v>
      </c>
      <c r="X36" t="s">
        <v>196</v>
      </c>
      <c r="Y36" s="1" t="str">
        <f>TRIM(table1[[#This Row],[الحالة]])</f>
        <v>تم التسليم</v>
      </c>
    </row>
    <row r="37" spans="1:25" ht="20.100000000000001" customHeight="1" x14ac:dyDescent="0.3">
      <c r="A37" t="s">
        <v>78</v>
      </c>
      <c r="B37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37" t="s">
        <v>351</v>
      </c>
      <c r="D37" t="s">
        <v>339</v>
      </c>
      <c r="E37" t="s">
        <v>34</v>
      </c>
      <c r="F37" t="s">
        <v>148</v>
      </c>
      <c r="G37" t="s">
        <v>169</v>
      </c>
      <c r="H37" t="s">
        <v>153</v>
      </c>
      <c r="I37">
        <v>100</v>
      </c>
      <c r="J37" t="s">
        <v>334</v>
      </c>
      <c r="K37" t="s">
        <v>334</v>
      </c>
      <c r="L37" t="s">
        <v>420</v>
      </c>
      <c r="M37" t="s">
        <v>80</v>
      </c>
      <c r="N37">
        <v>9450</v>
      </c>
      <c r="O37">
        <v>9450</v>
      </c>
      <c r="P37" s="68">
        <v>45547</v>
      </c>
      <c r="Q37" s="67">
        <v>45561</v>
      </c>
      <c r="R37" s="67"/>
      <c r="S37" s="71">
        <f>IF(OR(ISBLANK(table1[[#This Row],[ميعاد الطلب]]),ISBLANK(table1[[#This Row],[ميعاد التسليم]])),0,table1[[#This Row],[ميعاد التسليم]]-table1[[#This Row],[ميعاد الطلب]])</f>
        <v>14</v>
      </c>
      <c r="T37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37" s="83" t="s">
        <v>430</v>
      </c>
      <c r="V37" s="83" t="str" cm="1">
        <f t="array" ref="V37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37"/>
      <c r="X37" t="s">
        <v>234</v>
      </c>
      <c r="Y37" s="1" t="str">
        <f>TRIM(table1[[#This Row],[الحالة]])</f>
        <v>لاغى</v>
      </c>
    </row>
    <row r="38" spans="1:25" ht="20.100000000000001" customHeight="1" x14ac:dyDescent="0.3">
      <c r="A38" t="s">
        <v>389</v>
      </c>
      <c r="B38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38" t="s">
        <v>66</v>
      </c>
      <c r="D38" t="s">
        <v>344</v>
      </c>
      <c r="E38" t="s">
        <v>7</v>
      </c>
      <c r="F38" t="s">
        <v>148</v>
      </c>
      <c r="G38" t="s">
        <v>151</v>
      </c>
      <c r="H38" t="s">
        <v>154</v>
      </c>
      <c r="I38">
        <v>120</v>
      </c>
      <c r="J38" t="s">
        <v>334</v>
      </c>
      <c r="K38" t="s">
        <v>334</v>
      </c>
      <c r="L38" t="s">
        <v>420</v>
      </c>
      <c r="M38" t="s">
        <v>94</v>
      </c>
      <c r="N38">
        <v>7460</v>
      </c>
      <c r="O38" t="s">
        <v>15</v>
      </c>
      <c r="P38" s="68">
        <v>45548</v>
      </c>
      <c r="Q38" s="67">
        <v>45561</v>
      </c>
      <c r="R38" s="67">
        <v>45568</v>
      </c>
      <c r="S38" s="71">
        <f>IF(OR(ISBLANK(table1[[#This Row],[ميعاد الطلب]]),ISBLANK(table1[[#This Row],[ميعاد التسليم]])),0,table1[[#This Row],[ميعاد التسليم]]-table1[[#This Row],[ميعاد الطلب]])</f>
        <v>13</v>
      </c>
      <c r="T38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20</v>
      </c>
      <c r="U38" s="83">
        <v>-7</v>
      </c>
      <c r="V38" s="83" t="str" cm="1">
        <f t="array" ref="V38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38" t="s">
        <v>197</v>
      </c>
      <c r="X38" t="s">
        <v>196</v>
      </c>
      <c r="Y38" s="1" t="str">
        <f>TRIM(table1[[#This Row],[الحالة]])</f>
        <v>تم التسليم</v>
      </c>
    </row>
    <row r="39" spans="1:25" ht="20.100000000000001" customHeight="1" x14ac:dyDescent="0.3">
      <c r="A39" t="s">
        <v>97</v>
      </c>
      <c r="B39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39" t="s">
        <v>66</v>
      </c>
      <c r="D39" t="s">
        <v>344</v>
      </c>
      <c r="E39" t="s">
        <v>7</v>
      </c>
      <c r="F39" t="s">
        <v>148</v>
      </c>
      <c r="G39" t="s">
        <v>151</v>
      </c>
      <c r="H39" t="s">
        <v>176</v>
      </c>
      <c r="I39">
        <v>140</v>
      </c>
      <c r="J39" t="s">
        <v>174</v>
      </c>
      <c r="K39" t="s">
        <v>174</v>
      </c>
      <c r="L39" t="s">
        <v>170</v>
      </c>
      <c r="M39" t="s">
        <v>98</v>
      </c>
      <c r="N39">
        <v>9528</v>
      </c>
      <c r="O39" t="s">
        <v>15</v>
      </c>
      <c r="P39" s="68">
        <v>45548</v>
      </c>
      <c r="Q39" s="67">
        <v>45561</v>
      </c>
      <c r="R39" s="67">
        <v>45568</v>
      </c>
      <c r="S39" s="71">
        <f>IF(OR(ISBLANK(table1[[#This Row],[ميعاد الطلب]]),ISBLANK(table1[[#This Row],[ميعاد التسليم]])),0,table1[[#This Row],[ميعاد التسليم]]-table1[[#This Row],[ميعاد الطلب]])</f>
        <v>13</v>
      </c>
      <c r="T39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20</v>
      </c>
      <c r="U39" s="83">
        <v>-7</v>
      </c>
      <c r="V39" s="83" t="str" cm="1">
        <f t="array" ref="V39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39" t="s">
        <v>197</v>
      </c>
      <c r="X39" t="s">
        <v>196</v>
      </c>
      <c r="Y39" s="1" t="str">
        <f>TRIM(table1[[#This Row],[الحالة]])</f>
        <v>تم التسليم</v>
      </c>
    </row>
    <row r="40" spans="1:25" ht="20.100000000000001" customHeight="1" x14ac:dyDescent="0.3">
      <c r="A40" t="s">
        <v>390</v>
      </c>
      <c r="B40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40" t="s">
        <v>276</v>
      </c>
      <c r="D40" t="s">
        <v>339</v>
      </c>
      <c r="E40" t="s">
        <v>7</v>
      </c>
      <c r="F40" t="s">
        <v>148</v>
      </c>
      <c r="G40" t="s">
        <v>163</v>
      </c>
      <c r="H40" t="s">
        <v>153</v>
      </c>
      <c r="I40">
        <v>120</v>
      </c>
      <c r="J40" t="s">
        <v>170</v>
      </c>
      <c r="K40" t="s">
        <v>170</v>
      </c>
      <c r="L40" t="s">
        <v>420</v>
      </c>
      <c r="M40" t="s">
        <v>140</v>
      </c>
      <c r="N40">
        <v>12999</v>
      </c>
      <c r="O40" t="s">
        <v>15</v>
      </c>
      <c r="P40" s="68">
        <v>45549</v>
      </c>
      <c r="Q40" s="67">
        <v>45562</v>
      </c>
      <c r="R40" s="67">
        <v>45567</v>
      </c>
      <c r="S40" s="71">
        <f>IF(OR(ISBLANK(table1[[#This Row],[ميعاد الطلب]]),ISBLANK(table1[[#This Row],[ميعاد التسليم]])),0,table1[[#This Row],[ميعاد التسليم]]-table1[[#This Row],[ميعاد الطلب]])</f>
        <v>13</v>
      </c>
      <c r="T40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18</v>
      </c>
      <c r="U40" s="83">
        <v>-5</v>
      </c>
      <c r="V40" s="83" t="str" cm="1">
        <f t="array" ref="V40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40" t="s">
        <v>197</v>
      </c>
      <c r="X40" t="s">
        <v>196</v>
      </c>
      <c r="Y40" s="1" t="str">
        <f>TRIM(table1[[#This Row],[الحالة]])</f>
        <v>تم التسليم</v>
      </c>
    </row>
    <row r="41" spans="1:25" ht="20.100000000000001" customHeight="1" x14ac:dyDescent="0.3">
      <c r="A41" t="s">
        <v>391</v>
      </c>
      <c r="B41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41" t="s">
        <v>352</v>
      </c>
      <c r="D41" t="s">
        <v>344</v>
      </c>
      <c r="E41" t="s">
        <v>7</v>
      </c>
      <c r="F41" t="s">
        <v>148</v>
      </c>
      <c r="G41" t="s">
        <v>163</v>
      </c>
      <c r="H41" t="s">
        <v>150</v>
      </c>
      <c r="I41">
        <v>90</v>
      </c>
      <c r="J41" t="s">
        <v>334</v>
      </c>
      <c r="K41" t="s">
        <v>334</v>
      </c>
      <c r="L41" t="s">
        <v>420</v>
      </c>
      <c r="M41" t="s">
        <v>76</v>
      </c>
      <c r="N41">
        <v>5999</v>
      </c>
      <c r="O41" t="s">
        <v>15</v>
      </c>
      <c r="P41" s="68">
        <v>45547</v>
      </c>
      <c r="Q41" s="67">
        <v>45564</v>
      </c>
      <c r="R41" s="67"/>
      <c r="S41" s="71">
        <f>IF(OR(ISBLANK(table1[[#This Row],[ميعاد الطلب]]),ISBLANK(table1[[#This Row],[ميعاد التسليم]])),0,table1[[#This Row],[ميعاد التسليم]]-table1[[#This Row],[ميعاد الطلب]])</f>
        <v>17</v>
      </c>
      <c r="T41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41" s="83" t="s">
        <v>430</v>
      </c>
      <c r="V41" s="83" t="str" cm="1">
        <f t="array" ref="V41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41"/>
      <c r="X41"/>
      <c r="Y41" s="1" t="str">
        <f>TRIM(table1[[#This Row],[الحالة]])</f>
        <v/>
      </c>
    </row>
    <row r="42" spans="1:25" ht="20.100000000000001" customHeight="1" x14ac:dyDescent="0.3">
      <c r="A42" t="s">
        <v>392</v>
      </c>
      <c r="B42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42" t="s">
        <v>353</v>
      </c>
      <c r="D42" t="s">
        <v>339</v>
      </c>
      <c r="E42" t="s">
        <v>7</v>
      </c>
      <c r="F42" t="s">
        <v>148</v>
      </c>
      <c r="G42" t="s">
        <v>163</v>
      </c>
      <c r="H42" t="s">
        <v>153</v>
      </c>
      <c r="I42">
        <v>100</v>
      </c>
      <c r="J42" t="s">
        <v>334</v>
      </c>
      <c r="K42" t="s">
        <v>334</v>
      </c>
      <c r="L42" t="s">
        <v>420</v>
      </c>
      <c r="M42" t="s">
        <v>77</v>
      </c>
      <c r="N42">
        <v>11949</v>
      </c>
      <c r="O42">
        <v>10749</v>
      </c>
      <c r="P42" s="68">
        <v>45547</v>
      </c>
      <c r="Q42" s="67">
        <v>45564</v>
      </c>
      <c r="R42" s="67">
        <v>45567</v>
      </c>
      <c r="S42" s="71">
        <f>IF(OR(ISBLANK(table1[[#This Row],[ميعاد الطلب]]),ISBLANK(table1[[#This Row],[ميعاد التسليم]])),0,table1[[#This Row],[ميعاد التسليم]]-table1[[#This Row],[ميعاد الطلب]])</f>
        <v>17</v>
      </c>
      <c r="T42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20</v>
      </c>
      <c r="U42" s="83">
        <v>-3</v>
      </c>
      <c r="V42" s="83" t="str" cm="1">
        <f t="array" ref="V42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42" t="s">
        <v>197</v>
      </c>
      <c r="X42" t="s">
        <v>196</v>
      </c>
      <c r="Y42" s="1" t="str">
        <f>TRIM(table1[[#This Row],[الحالة]])</f>
        <v>تم التسليم</v>
      </c>
    </row>
    <row r="43" spans="1:25" ht="20.100000000000001" customHeight="1" x14ac:dyDescent="0.3">
      <c r="A43" t="s">
        <v>392</v>
      </c>
      <c r="B43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43" t="s">
        <v>353</v>
      </c>
      <c r="D43" t="s">
        <v>339</v>
      </c>
      <c r="E43" t="s">
        <v>7</v>
      </c>
      <c r="F43" t="s">
        <v>148</v>
      </c>
      <c r="G43" t="s">
        <v>163</v>
      </c>
      <c r="H43" t="s">
        <v>153</v>
      </c>
      <c r="I43">
        <v>100</v>
      </c>
      <c r="J43" t="s">
        <v>334</v>
      </c>
      <c r="K43" t="s">
        <v>334</v>
      </c>
      <c r="L43" t="s">
        <v>420</v>
      </c>
      <c r="M43" t="s">
        <v>77</v>
      </c>
      <c r="N43">
        <v>11949</v>
      </c>
      <c r="O43">
        <v>10749</v>
      </c>
      <c r="P43" s="68">
        <v>45547</v>
      </c>
      <c r="Q43" s="67">
        <v>45564</v>
      </c>
      <c r="R43" s="67">
        <v>45567</v>
      </c>
      <c r="S43" s="71">
        <f>IF(OR(ISBLANK(table1[[#This Row],[ميعاد الطلب]]),ISBLANK(table1[[#This Row],[ميعاد التسليم]])),0,table1[[#This Row],[ميعاد التسليم]]-table1[[#This Row],[ميعاد الطلب]])</f>
        <v>17</v>
      </c>
      <c r="T43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20</v>
      </c>
      <c r="U43" s="83">
        <v>-3</v>
      </c>
      <c r="V43" s="83" t="str" cm="1">
        <f t="array" ref="V43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43" t="s">
        <v>197</v>
      </c>
      <c r="X43" t="s">
        <v>196</v>
      </c>
      <c r="Y43" s="1" t="str">
        <f>TRIM(table1[[#This Row],[الحالة]])</f>
        <v>تم التسليم</v>
      </c>
    </row>
    <row r="44" spans="1:25" ht="20.100000000000001" customHeight="1" x14ac:dyDescent="0.3">
      <c r="A44" t="s">
        <v>382</v>
      </c>
      <c r="B44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44" t="s">
        <v>86</v>
      </c>
      <c r="D44" t="s">
        <v>344</v>
      </c>
      <c r="E44" t="s">
        <v>7</v>
      </c>
      <c r="F44" t="s">
        <v>148</v>
      </c>
      <c r="G44" t="s">
        <v>169</v>
      </c>
      <c r="H44" t="s">
        <v>153</v>
      </c>
      <c r="I44">
        <v>80</v>
      </c>
      <c r="J44" t="s">
        <v>333</v>
      </c>
      <c r="K44" t="s">
        <v>333</v>
      </c>
      <c r="L44" t="s">
        <v>420</v>
      </c>
      <c r="M44" t="s">
        <v>89</v>
      </c>
      <c r="N44">
        <v>16599</v>
      </c>
      <c r="O44" t="s">
        <v>15</v>
      </c>
      <c r="P44" s="68">
        <v>45548</v>
      </c>
      <c r="Q44" s="67">
        <v>45565</v>
      </c>
      <c r="R44" s="67">
        <v>45568</v>
      </c>
      <c r="S44" s="71">
        <f>IF(OR(ISBLANK(table1[[#This Row],[ميعاد الطلب]]),ISBLANK(table1[[#This Row],[ميعاد التسليم]])),0,table1[[#This Row],[ميعاد التسليم]]-table1[[#This Row],[ميعاد الطلب]])</f>
        <v>17</v>
      </c>
      <c r="T44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20</v>
      </c>
      <c r="U44" s="83">
        <v>-3</v>
      </c>
      <c r="V44" s="83" t="str" cm="1">
        <f t="array" ref="V44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44" t="s">
        <v>197</v>
      </c>
      <c r="X44" t="s">
        <v>196</v>
      </c>
      <c r="Y44" s="1" t="str">
        <f>TRIM(table1[[#This Row],[الحالة]])</f>
        <v>تم التسليم</v>
      </c>
    </row>
    <row r="45" spans="1:25" ht="20.100000000000001" customHeight="1" x14ac:dyDescent="0.3">
      <c r="A45" t="s">
        <v>393</v>
      </c>
      <c r="B45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45" t="s">
        <v>115</v>
      </c>
      <c r="D45" t="s">
        <v>343</v>
      </c>
      <c r="E45" t="s">
        <v>7</v>
      </c>
      <c r="F45" t="s">
        <v>148</v>
      </c>
      <c r="G45" t="s">
        <v>163</v>
      </c>
      <c r="H45" t="s">
        <v>153</v>
      </c>
      <c r="I45">
        <v>80</v>
      </c>
      <c r="J45" t="s">
        <v>333</v>
      </c>
      <c r="K45" t="s">
        <v>333</v>
      </c>
      <c r="L45" t="s">
        <v>420</v>
      </c>
      <c r="M45" t="s">
        <v>88</v>
      </c>
      <c r="N45">
        <v>10999</v>
      </c>
      <c r="O45" t="s">
        <v>15</v>
      </c>
      <c r="P45" s="68">
        <v>45548</v>
      </c>
      <c r="Q45" s="67">
        <v>45565</v>
      </c>
      <c r="R45" s="67">
        <v>45581</v>
      </c>
      <c r="S45" s="71">
        <f>IF(OR(ISBLANK(table1[[#This Row],[ميعاد الطلب]]),ISBLANK(table1[[#This Row],[ميعاد التسليم]])),0,table1[[#This Row],[ميعاد التسليم]]-table1[[#This Row],[ميعاد الطلب]])</f>
        <v>17</v>
      </c>
      <c r="T45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33</v>
      </c>
      <c r="U45" s="83">
        <v>-16</v>
      </c>
      <c r="V45" s="83" t="str" cm="1">
        <f t="array" ref="V45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45" t="s">
        <v>27</v>
      </c>
      <c r="X45" t="s">
        <v>196</v>
      </c>
      <c r="Y45" s="1" t="str">
        <f>TRIM(table1[[#This Row],[الحالة]])</f>
        <v>تم التسليم</v>
      </c>
    </row>
    <row r="46" spans="1:25" ht="20.100000000000001" customHeight="1" x14ac:dyDescent="0.3">
      <c r="A46" t="s">
        <v>394</v>
      </c>
      <c r="B46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46" t="s">
        <v>354</v>
      </c>
      <c r="D46" t="s">
        <v>349</v>
      </c>
      <c r="E46" t="s">
        <v>7</v>
      </c>
      <c r="F46" t="s">
        <v>148</v>
      </c>
      <c r="G46" t="s">
        <v>163</v>
      </c>
      <c r="H46" t="s">
        <v>153</v>
      </c>
      <c r="I46">
        <v>140</v>
      </c>
      <c r="J46" t="s">
        <v>168</v>
      </c>
      <c r="K46" t="s">
        <v>168</v>
      </c>
      <c r="L46" t="s">
        <v>420</v>
      </c>
      <c r="M46" t="s">
        <v>92</v>
      </c>
      <c r="N46">
        <v>13099</v>
      </c>
      <c r="O46" t="s">
        <v>15</v>
      </c>
      <c r="P46" s="68">
        <v>45548</v>
      </c>
      <c r="Q46" s="67">
        <v>45565</v>
      </c>
      <c r="R46" s="67">
        <v>45568</v>
      </c>
      <c r="S46" s="71">
        <f>IF(OR(ISBLANK(table1[[#This Row],[ميعاد الطلب]]),ISBLANK(table1[[#This Row],[ميعاد التسليم]])),0,table1[[#This Row],[ميعاد التسليم]]-table1[[#This Row],[ميعاد الطلب]])</f>
        <v>17</v>
      </c>
      <c r="T46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20</v>
      </c>
      <c r="U46" s="83">
        <v>-3</v>
      </c>
      <c r="V46" s="83" t="str" cm="1">
        <f t="array" ref="V46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46" t="s">
        <v>27</v>
      </c>
      <c r="X46" t="s">
        <v>196</v>
      </c>
      <c r="Y46" s="1" t="str">
        <f>TRIM(table1[[#This Row],[الحالة]])</f>
        <v>تم التسليم</v>
      </c>
    </row>
    <row r="47" spans="1:25" ht="20.100000000000001" customHeight="1" x14ac:dyDescent="0.3">
      <c r="A47" t="s">
        <v>395</v>
      </c>
      <c r="B47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47" t="s">
        <v>276</v>
      </c>
      <c r="D47" t="s">
        <v>339</v>
      </c>
      <c r="E47" t="s">
        <v>7</v>
      </c>
      <c r="F47" t="s">
        <v>148</v>
      </c>
      <c r="G47" t="s">
        <v>163</v>
      </c>
      <c r="H47" t="s">
        <v>152</v>
      </c>
      <c r="I47">
        <v>120</v>
      </c>
      <c r="J47" t="s">
        <v>171</v>
      </c>
      <c r="K47" t="s">
        <v>171</v>
      </c>
      <c r="L47" t="s">
        <v>420</v>
      </c>
      <c r="M47" t="s">
        <v>96</v>
      </c>
      <c r="N47">
        <v>13849</v>
      </c>
      <c r="O47" t="s">
        <v>15</v>
      </c>
      <c r="P47" s="68">
        <v>45548</v>
      </c>
      <c r="Q47" s="67">
        <v>45565</v>
      </c>
      <c r="R47" s="67">
        <v>45585</v>
      </c>
      <c r="S47" s="71">
        <f>IF(OR(ISBLANK(table1[[#This Row],[ميعاد الطلب]]),ISBLANK(table1[[#This Row],[ميعاد التسليم]])),0,table1[[#This Row],[ميعاد التسليم]]-table1[[#This Row],[ميعاد الطلب]])</f>
        <v>17</v>
      </c>
      <c r="T47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37</v>
      </c>
      <c r="U47" s="83">
        <v>-20</v>
      </c>
      <c r="V47" s="83" t="str" cm="1">
        <f t="array" ref="V47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47" t="s">
        <v>197</v>
      </c>
      <c r="X47" t="s">
        <v>196</v>
      </c>
      <c r="Y47" s="1" t="str">
        <f>TRIM(table1[[#This Row],[الحالة]])</f>
        <v>تم التسليم</v>
      </c>
    </row>
    <row r="48" spans="1:25" ht="20.100000000000001" customHeight="1" x14ac:dyDescent="0.3">
      <c r="A48" t="s">
        <v>396</v>
      </c>
      <c r="B48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48" t="s">
        <v>66</v>
      </c>
      <c r="D48" t="s">
        <v>344</v>
      </c>
      <c r="E48" t="s">
        <v>7</v>
      </c>
      <c r="F48" t="s">
        <v>159</v>
      </c>
      <c r="G48" t="s">
        <v>162</v>
      </c>
      <c r="H48"/>
      <c r="I48"/>
      <c r="J48" t="s">
        <v>334</v>
      </c>
      <c r="K48" t="s">
        <v>334</v>
      </c>
      <c r="L48" t="s">
        <v>170</v>
      </c>
      <c r="M48" t="s">
        <v>101</v>
      </c>
      <c r="N48">
        <v>21999</v>
      </c>
      <c r="O48" t="s">
        <v>15</v>
      </c>
      <c r="P48" s="68">
        <v>45548</v>
      </c>
      <c r="Q48" s="67">
        <v>45565</v>
      </c>
      <c r="R48" s="67"/>
      <c r="S48" s="71">
        <f>IF(OR(ISBLANK(table1[[#This Row],[ميعاد الطلب]]),ISBLANK(table1[[#This Row],[ميعاد التسليم]])),0,table1[[#This Row],[ميعاد التسليم]]-table1[[#This Row],[ميعاد الطلب]])</f>
        <v>17</v>
      </c>
      <c r="T48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48" s="83" t="s">
        <v>430</v>
      </c>
      <c r="V48" s="83" t="str" cm="1">
        <f t="array" ref="V48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48" t="s">
        <v>197</v>
      </c>
      <c r="X48" t="s">
        <v>196</v>
      </c>
      <c r="Y48" s="1" t="str">
        <f>TRIM(table1[[#This Row],[الحالة]])</f>
        <v>تم التسليم</v>
      </c>
    </row>
    <row r="49" spans="1:25" ht="20.100000000000001" customHeight="1" x14ac:dyDescent="0.3">
      <c r="A49" t="s">
        <v>397</v>
      </c>
      <c r="B49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49" t="s">
        <v>276</v>
      </c>
      <c r="D49" t="s">
        <v>339</v>
      </c>
      <c r="E49" t="s">
        <v>7</v>
      </c>
      <c r="F49" t="s">
        <v>148</v>
      </c>
      <c r="G49" t="s">
        <v>163</v>
      </c>
      <c r="H49" t="s">
        <v>153</v>
      </c>
      <c r="I49">
        <v>80</v>
      </c>
      <c r="J49" t="s">
        <v>333</v>
      </c>
      <c r="K49" t="s">
        <v>333</v>
      </c>
      <c r="L49" t="s">
        <v>420</v>
      </c>
      <c r="M49" t="s">
        <v>88</v>
      </c>
      <c r="N49">
        <v>10999</v>
      </c>
      <c r="O49" t="s">
        <v>15</v>
      </c>
      <c r="P49" s="68">
        <v>45548</v>
      </c>
      <c r="Q49" s="67">
        <v>45565</v>
      </c>
      <c r="R49" s="67">
        <v>45580</v>
      </c>
      <c r="S49" s="71">
        <f>IF(OR(ISBLANK(table1[[#This Row],[ميعاد الطلب]]),ISBLANK(table1[[#This Row],[ميعاد التسليم]])),0,table1[[#This Row],[ميعاد التسليم]]-table1[[#This Row],[ميعاد الطلب]])</f>
        <v>17</v>
      </c>
      <c r="T49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32</v>
      </c>
      <c r="U49" s="83">
        <v>-15</v>
      </c>
      <c r="V49" s="83" t="str" cm="1">
        <f t="array" ref="V49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49" t="s">
        <v>197</v>
      </c>
      <c r="X49" t="s">
        <v>196</v>
      </c>
      <c r="Y49" s="1" t="str">
        <f>TRIM(table1[[#This Row],[الحالة]])</f>
        <v>تم التسليم</v>
      </c>
    </row>
    <row r="50" spans="1:25" ht="20.100000000000001" customHeight="1" x14ac:dyDescent="0.3">
      <c r="A50" t="s">
        <v>398</v>
      </c>
      <c r="B50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50" t="s">
        <v>105</v>
      </c>
      <c r="D50" t="s">
        <v>344</v>
      </c>
      <c r="E50" t="s">
        <v>7</v>
      </c>
      <c r="F50" t="s">
        <v>148</v>
      </c>
      <c r="G50" t="s">
        <v>169</v>
      </c>
      <c r="H50" t="s">
        <v>153</v>
      </c>
      <c r="I50">
        <v>90</v>
      </c>
      <c r="J50" t="s">
        <v>334</v>
      </c>
      <c r="K50" t="s">
        <v>334</v>
      </c>
      <c r="L50" t="s">
        <v>420</v>
      </c>
      <c r="M50" t="s">
        <v>109</v>
      </c>
      <c r="N50">
        <v>17249</v>
      </c>
      <c r="O50" t="s">
        <v>15</v>
      </c>
      <c r="P50" s="68">
        <v>45548</v>
      </c>
      <c r="Q50" s="67">
        <v>45565</v>
      </c>
      <c r="R50" s="67">
        <v>45569</v>
      </c>
      <c r="S50" s="71">
        <f>IF(OR(ISBLANK(table1[[#This Row],[ميعاد الطلب]]),ISBLANK(table1[[#This Row],[ميعاد التسليم]])),0,table1[[#This Row],[ميعاد التسليم]]-table1[[#This Row],[ميعاد الطلب]])</f>
        <v>17</v>
      </c>
      <c r="T50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21</v>
      </c>
      <c r="U50" s="83">
        <v>-4</v>
      </c>
      <c r="V50" s="83" t="str" cm="1">
        <f t="array" ref="V50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50" t="s">
        <v>197</v>
      </c>
      <c r="X50" t="s">
        <v>196</v>
      </c>
      <c r="Y50" s="1" t="str">
        <f>TRIM(table1[[#This Row],[الحالة]])</f>
        <v>تم التسليم</v>
      </c>
    </row>
    <row r="51" spans="1:25" ht="20.100000000000001" customHeight="1" x14ac:dyDescent="0.3">
      <c r="A51" t="s">
        <v>399</v>
      </c>
      <c r="B51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51" t="s">
        <v>137</v>
      </c>
      <c r="D51" t="s">
        <v>339</v>
      </c>
      <c r="E51" t="s">
        <v>7</v>
      </c>
      <c r="F51" t="s">
        <v>155</v>
      </c>
      <c r="G51" t="s">
        <v>185</v>
      </c>
      <c r="H51"/>
      <c r="I51"/>
      <c r="J51" t="s">
        <v>420</v>
      </c>
      <c r="K51" t="s">
        <v>420</v>
      </c>
      <c r="L51" t="s">
        <v>420</v>
      </c>
      <c r="M51" t="s">
        <v>138</v>
      </c>
      <c r="N51">
        <v>8349</v>
      </c>
      <c r="O51" t="s">
        <v>15</v>
      </c>
      <c r="P51" s="68">
        <v>45549</v>
      </c>
      <c r="Q51" s="67">
        <v>45581</v>
      </c>
      <c r="R51" s="67">
        <v>45586</v>
      </c>
      <c r="S51" s="71">
        <f>IF(OR(ISBLANK(table1[[#This Row],[ميعاد الطلب]]),ISBLANK(table1[[#This Row],[ميعاد التسليم]])),0,table1[[#This Row],[ميعاد التسليم]]-table1[[#This Row],[ميعاد الطلب]])</f>
        <v>32</v>
      </c>
      <c r="T51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37</v>
      </c>
      <c r="U51" s="83">
        <v>-5</v>
      </c>
      <c r="V51" s="83" t="str" cm="1">
        <f t="array" ref="V51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51" t="s">
        <v>197</v>
      </c>
      <c r="X51" t="s">
        <v>196</v>
      </c>
      <c r="Y51" s="1" t="str">
        <f>TRIM(table1[[#This Row],[الحالة]])</f>
        <v>تم التسليم</v>
      </c>
    </row>
    <row r="52" spans="1:25" ht="20.100000000000001" customHeight="1" x14ac:dyDescent="0.3">
      <c r="A52" t="s">
        <v>400</v>
      </c>
      <c r="B52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52" t="s">
        <v>345</v>
      </c>
      <c r="D52" t="s">
        <v>344</v>
      </c>
      <c r="E52" t="s">
        <v>7</v>
      </c>
      <c r="F52" t="s">
        <v>155</v>
      </c>
      <c r="G52" t="s">
        <v>186</v>
      </c>
      <c r="H52"/>
      <c r="I52"/>
      <c r="J52" t="s">
        <v>420</v>
      </c>
      <c r="K52" t="s">
        <v>420</v>
      </c>
      <c r="L52" t="s">
        <v>420</v>
      </c>
      <c r="M52" t="s">
        <v>26</v>
      </c>
      <c r="N52">
        <v>7849</v>
      </c>
      <c r="O52" t="s">
        <v>15</v>
      </c>
      <c r="P52" s="68">
        <v>45549</v>
      </c>
      <c r="Q52" s="67">
        <v>45594</v>
      </c>
      <c r="R52" s="67">
        <v>45595</v>
      </c>
      <c r="S52" s="71">
        <f>IF(OR(ISBLANK(table1[[#This Row],[ميعاد الطلب]]),ISBLANK(table1[[#This Row],[ميعاد التسليم]])),0,table1[[#This Row],[ميعاد التسليم]]-table1[[#This Row],[ميعاد الطلب]])</f>
        <v>45</v>
      </c>
      <c r="T52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46</v>
      </c>
      <c r="U52" s="83">
        <v>-1</v>
      </c>
      <c r="V52" s="83" t="str" cm="1">
        <f t="array" ref="V52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52" t="s">
        <v>197</v>
      </c>
      <c r="X52" t="s">
        <v>196</v>
      </c>
      <c r="Y52" s="1" t="str">
        <f>TRIM(table1[[#This Row],[الحالة]])</f>
        <v>تم التسليم</v>
      </c>
    </row>
    <row r="53" spans="1:25" ht="20.100000000000001" customHeight="1" x14ac:dyDescent="0.3">
      <c r="A53" t="s">
        <v>117</v>
      </c>
      <c r="B53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53" t="s">
        <v>276</v>
      </c>
      <c r="D53" t="s">
        <v>339</v>
      </c>
      <c r="E53" t="s">
        <v>7</v>
      </c>
      <c r="F53" t="s">
        <v>148</v>
      </c>
      <c r="G53" t="s">
        <v>149</v>
      </c>
      <c r="H53"/>
      <c r="I53"/>
      <c r="J53" t="s">
        <v>334</v>
      </c>
      <c r="K53" t="s">
        <v>334</v>
      </c>
      <c r="L53" t="s">
        <v>334</v>
      </c>
      <c r="M53" t="s">
        <v>118</v>
      </c>
      <c r="N53">
        <v>9399</v>
      </c>
      <c r="O53" t="s">
        <v>113</v>
      </c>
      <c r="P53" s="68">
        <v>45549</v>
      </c>
      <c r="Q53" s="67">
        <v>45594</v>
      </c>
      <c r="R53" s="67">
        <v>45580</v>
      </c>
      <c r="S53" s="71">
        <f>IF(OR(ISBLANK(table1[[#This Row],[ميعاد الطلب]]),ISBLANK(table1[[#This Row],[ميعاد التسليم]])),0,table1[[#This Row],[ميعاد التسليم]]-table1[[#This Row],[ميعاد الطلب]])</f>
        <v>45</v>
      </c>
      <c r="T53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31</v>
      </c>
      <c r="U53" s="83">
        <v>14</v>
      </c>
      <c r="V53" s="83" t="str" cm="1">
        <f t="array" ref="V53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53" t="s">
        <v>197</v>
      </c>
      <c r="X53" t="s">
        <v>196</v>
      </c>
      <c r="Y53" s="1" t="str">
        <f>TRIM(table1[[#This Row],[الحالة]])</f>
        <v>تم التسليم</v>
      </c>
    </row>
    <row r="54" spans="1:25" ht="20.100000000000001" customHeight="1" x14ac:dyDescent="0.3">
      <c r="A54" t="s">
        <v>401</v>
      </c>
      <c r="B54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54" t="s">
        <v>355</v>
      </c>
      <c r="D54" t="s">
        <v>339</v>
      </c>
      <c r="E54" t="s">
        <v>7</v>
      </c>
      <c r="F54" t="s">
        <v>148</v>
      </c>
      <c r="G54" t="s">
        <v>151</v>
      </c>
      <c r="H54" t="s">
        <v>154</v>
      </c>
      <c r="I54">
        <v>140</v>
      </c>
      <c r="J54" t="s">
        <v>334</v>
      </c>
      <c r="K54" t="s">
        <v>334</v>
      </c>
      <c r="L54" t="s">
        <v>420</v>
      </c>
      <c r="M54" t="s">
        <v>121</v>
      </c>
      <c r="N54">
        <v>11817</v>
      </c>
      <c r="O54" t="s">
        <v>113</v>
      </c>
      <c r="P54" s="68">
        <v>45549</v>
      </c>
      <c r="Q54" s="67">
        <v>45594</v>
      </c>
      <c r="R54" s="67">
        <v>45580</v>
      </c>
      <c r="S54" s="71">
        <f>IF(OR(ISBLANK(table1[[#This Row],[ميعاد الطلب]]),ISBLANK(table1[[#This Row],[ميعاد التسليم]])),0,table1[[#This Row],[ميعاد التسليم]]-table1[[#This Row],[ميعاد الطلب]])</f>
        <v>45</v>
      </c>
      <c r="T54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31</v>
      </c>
      <c r="U54" s="83">
        <v>14</v>
      </c>
      <c r="V54" s="83" t="str" cm="1">
        <f t="array" ref="V54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54" t="s">
        <v>197</v>
      </c>
      <c r="X54" t="s">
        <v>196</v>
      </c>
      <c r="Y54" s="1" t="str">
        <f>TRIM(table1[[#This Row],[الحالة]])</f>
        <v>تم التسليم</v>
      </c>
    </row>
    <row r="55" spans="1:25" ht="20.100000000000001" customHeight="1" x14ac:dyDescent="0.3">
      <c r="A55" t="s">
        <v>402</v>
      </c>
      <c r="B55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55" t="s">
        <v>86</v>
      </c>
      <c r="D55" t="s">
        <v>344</v>
      </c>
      <c r="E55" t="s">
        <v>7</v>
      </c>
      <c r="F55" t="s">
        <v>155</v>
      </c>
      <c r="G55" t="s">
        <v>187</v>
      </c>
      <c r="H55"/>
      <c r="I55"/>
      <c r="J55" t="s">
        <v>420</v>
      </c>
      <c r="K55" t="s">
        <v>420</v>
      </c>
      <c r="L55" t="s">
        <v>420</v>
      </c>
      <c r="M55" t="s">
        <v>123</v>
      </c>
      <c r="N55">
        <v>8349</v>
      </c>
      <c r="O55" t="s">
        <v>113</v>
      </c>
      <c r="P55" s="68">
        <v>45549</v>
      </c>
      <c r="Q55" s="67">
        <v>45594</v>
      </c>
      <c r="R55" s="67">
        <v>45584</v>
      </c>
      <c r="S55" s="71">
        <f>IF(OR(ISBLANK(table1[[#This Row],[ميعاد الطلب]]),ISBLANK(table1[[#This Row],[ميعاد التسليم]])),0,table1[[#This Row],[ميعاد التسليم]]-table1[[#This Row],[ميعاد الطلب]])</f>
        <v>45</v>
      </c>
      <c r="T55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35</v>
      </c>
      <c r="U55" s="83">
        <v>10</v>
      </c>
      <c r="V55" s="83" t="str" cm="1">
        <f t="array" ref="V55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55" t="s">
        <v>197</v>
      </c>
      <c r="X55" t="s">
        <v>196</v>
      </c>
      <c r="Y55" s="1" t="str">
        <f>TRIM(table1[[#This Row],[الحالة]])</f>
        <v>تم التسليم</v>
      </c>
    </row>
    <row r="56" spans="1:25" ht="20.100000000000001" customHeight="1" x14ac:dyDescent="0.3">
      <c r="A56" t="s">
        <v>403</v>
      </c>
      <c r="B56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56" t="s">
        <v>127</v>
      </c>
      <c r="D56" t="s">
        <v>344</v>
      </c>
      <c r="E56" t="s">
        <v>7</v>
      </c>
      <c r="F56" t="s">
        <v>148</v>
      </c>
      <c r="G56" t="s">
        <v>151</v>
      </c>
      <c r="H56" t="s">
        <v>175</v>
      </c>
      <c r="I56">
        <v>120</v>
      </c>
      <c r="J56" t="s">
        <v>333</v>
      </c>
      <c r="K56" t="s">
        <v>333</v>
      </c>
      <c r="L56" t="s">
        <v>420</v>
      </c>
      <c r="M56" t="s">
        <v>128</v>
      </c>
      <c r="N56">
        <v>17886</v>
      </c>
      <c r="O56" t="s">
        <v>113</v>
      </c>
      <c r="P56" s="68">
        <v>45549</v>
      </c>
      <c r="Q56" s="67">
        <v>45594</v>
      </c>
      <c r="R56" s="67"/>
      <c r="S56" s="71">
        <f>IF(OR(ISBLANK(table1[[#This Row],[ميعاد الطلب]]),ISBLANK(table1[[#This Row],[ميعاد التسليم]])),0,table1[[#This Row],[ميعاد التسليم]]-table1[[#This Row],[ميعاد الطلب]])</f>
        <v>45</v>
      </c>
      <c r="T56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56" s="83" t="s">
        <v>430</v>
      </c>
      <c r="V56" s="83" t="str" cm="1">
        <f t="array" ref="V56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56"/>
      <c r="X56" t="s">
        <v>234</v>
      </c>
      <c r="Y56" s="1" t="str">
        <f>TRIM(table1[[#This Row],[الحالة]])</f>
        <v>لاغى</v>
      </c>
    </row>
    <row r="57" spans="1:25" ht="20.100000000000001" customHeight="1" x14ac:dyDescent="0.3">
      <c r="A57" t="s">
        <v>403</v>
      </c>
      <c r="B57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57" t="s">
        <v>127</v>
      </c>
      <c r="D57" t="s">
        <v>344</v>
      </c>
      <c r="E57" t="s">
        <v>7</v>
      </c>
      <c r="F57" t="s">
        <v>148</v>
      </c>
      <c r="G57" t="s">
        <v>151</v>
      </c>
      <c r="H57" t="s">
        <v>175</v>
      </c>
      <c r="I57">
        <v>120</v>
      </c>
      <c r="J57" t="s">
        <v>333</v>
      </c>
      <c r="K57" t="s">
        <v>333</v>
      </c>
      <c r="L57" t="s">
        <v>420</v>
      </c>
      <c r="M57" t="s">
        <v>128</v>
      </c>
      <c r="N57">
        <v>17886</v>
      </c>
      <c r="O57" t="s">
        <v>113</v>
      </c>
      <c r="P57" s="68">
        <v>45549</v>
      </c>
      <c r="Q57" s="67">
        <v>45594</v>
      </c>
      <c r="R57" s="67"/>
      <c r="S57" s="71">
        <f>IF(OR(ISBLANK(table1[[#This Row],[ميعاد الطلب]]),ISBLANK(table1[[#This Row],[ميعاد التسليم]])),0,table1[[#This Row],[ميعاد التسليم]]-table1[[#This Row],[ميعاد الطلب]])</f>
        <v>45</v>
      </c>
      <c r="T57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57" s="83" t="s">
        <v>430</v>
      </c>
      <c r="V57" s="83" t="str" cm="1">
        <f t="array" ref="V57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57"/>
      <c r="X57" t="s">
        <v>234</v>
      </c>
      <c r="Y57" s="1" t="str">
        <f>TRIM(table1[[#This Row],[الحالة]])</f>
        <v>لاغى</v>
      </c>
    </row>
    <row r="58" spans="1:25" ht="20.100000000000001" customHeight="1" x14ac:dyDescent="0.3">
      <c r="A58" t="s">
        <v>129</v>
      </c>
      <c r="B58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58" t="s">
        <v>66</v>
      </c>
      <c r="D58" t="s">
        <v>344</v>
      </c>
      <c r="E58" t="s">
        <v>7</v>
      </c>
      <c r="F58" t="s">
        <v>148</v>
      </c>
      <c r="G58" t="s">
        <v>151</v>
      </c>
      <c r="H58" t="s">
        <v>154</v>
      </c>
      <c r="I58">
        <v>120</v>
      </c>
      <c r="J58" t="s">
        <v>333</v>
      </c>
      <c r="K58" t="s">
        <v>333</v>
      </c>
      <c r="L58" t="s">
        <v>420</v>
      </c>
      <c r="M58" t="s">
        <v>130</v>
      </c>
      <c r="N58">
        <v>10987</v>
      </c>
      <c r="O58" t="s">
        <v>15</v>
      </c>
      <c r="P58" s="68">
        <v>45549</v>
      </c>
      <c r="Q58" s="67">
        <v>45594</v>
      </c>
      <c r="R58" s="67">
        <v>45578</v>
      </c>
      <c r="S58" s="71">
        <f>IF(OR(ISBLANK(table1[[#This Row],[ميعاد الطلب]]),ISBLANK(table1[[#This Row],[ميعاد التسليم]])),0,table1[[#This Row],[ميعاد التسليم]]-table1[[#This Row],[ميعاد الطلب]])</f>
        <v>45</v>
      </c>
      <c r="T58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29</v>
      </c>
      <c r="U58" s="83">
        <v>16</v>
      </c>
      <c r="V58" s="83" t="str" cm="1">
        <f t="array" ref="V58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58" t="s">
        <v>197</v>
      </c>
      <c r="X58" t="s">
        <v>196</v>
      </c>
      <c r="Y58" s="1" t="str">
        <f>TRIM(table1[[#This Row],[الحالة]])</f>
        <v>تم التسليم</v>
      </c>
    </row>
    <row r="59" spans="1:25" ht="20.100000000000001" customHeight="1" x14ac:dyDescent="0.3">
      <c r="A59" t="s">
        <v>129</v>
      </c>
      <c r="B59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59" t="s">
        <v>66</v>
      </c>
      <c r="D59" t="s">
        <v>344</v>
      </c>
      <c r="E59" t="s">
        <v>7</v>
      </c>
      <c r="F59" t="s">
        <v>148</v>
      </c>
      <c r="G59" t="s">
        <v>151</v>
      </c>
      <c r="H59" t="s">
        <v>154</v>
      </c>
      <c r="I59">
        <v>120</v>
      </c>
      <c r="J59" t="s">
        <v>333</v>
      </c>
      <c r="K59" t="s">
        <v>333</v>
      </c>
      <c r="L59" t="s">
        <v>420</v>
      </c>
      <c r="M59" t="s">
        <v>130</v>
      </c>
      <c r="N59">
        <v>10987</v>
      </c>
      <c r="O59" t="s">
        <v>15</v>
      </c>
      <c r="P59" s="68">
        <v>45549</v>
      </c>
      <c r="Q59" s="67">
        <v>45594</v>
      </c>
      <c r="R59" s="67">
        <v>45578</v>
      </c>
      <c r="S59" s="71">
        <f>IF(OR(ISBLANK(table1[[#This Row],[ميعاد الطلب]]),ISBLANK(table1[[#This Row],[ميعاد التسليم]])),0,table1[[#This Row],[ميعاد التسليم]]-table1[[#This Row],[ميعاد الطلب]])</f>
        <v>45</v>
      </c>
      <c r="T59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29</v>
      </c>
      <c r="U59" s="83">
        <v>16</v>
      </c>
      <c r="V59" s="83" t="str" cm="1">
        <f t="array" ref="V59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59" t="s">
        <v>197</v>
      </c>
      <c r="X59" t="s">
        <v>196</v>
      </c>
      <c r="Y59" s="1" t="str">
        <f>TRIM(table1[[#This Row],[الحالة]])</f>
        <v>تم التسليم</v>
      </c>
    </row>
    <row r="60" spans="1:25" ht="20.100000000000001" customHeight="1" x14ac:dyDescent="0.3">
      <c r="A60" t="s">
        <v>404</v>
      </c>
      <c r="B60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60" t="s">
        <v>133</v>
      </c>
      <c r="D60" t="s">
        <v>348</v>
      </c>
      <c r="E60" t="s">
        <v>7</v>
      </c>
      <c r="F60" t="s">
        <v>155</v>
      </c>
      <c r="G60" t="s">
        <v>185</v>
      </c>
      <c r="H60"/>
      <c r="I60"/>
      <c r="J60" t="s">
        <v>420</v>
      </c>
      <c r="K60" t="s">
        <v>420</v>
      </c>
      <c r="L60" t="s">
        <v>420</v>
      </c>
      <c r="M60" t="s">
        <v>62</v>
      </c>
      <c r="N60">
        <v>10319</v>
      </c>
      <c r="O60" t="s">
        <v>15</v>
      </c>
      <c r="P60" s="68">
        <v>45549</v>
      </c>
      <c r="Q60" s="67">
        <v>45594</v>
      </c>
      <c r="R60" s="67">
        <v>45584</v>
      </c>
      <c r="S60" s="71">
        <f>IF(OR(ISBLANK(table1[[#This Row],[ميعاد الطلب]]),ISBLANK(table1[[#This Row],[ميعاد التسليم]])),0,table1[[#This Row],[ميعاد التسليم]]-table1[[#This Row],[ميعاد الطلب]])</f>
        <v>45</v>
      </c>
      <c r="T60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35</v>
      </c>
      <c r="U60" s="83">
        <v>10</v>
      </c>
      <c r="V60" s="83" t="str" cm="1">
        <f t="array" ref="V60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60" t="s">
        <v>197</v>
      </c>
      <c r="X60" t="s">
        <v>196</v>
      </c>
      <c r="Y60" s="1" t="str">
        <f>TRIM(table1[[#This Row],[الحالة]])</f>
        <v>تم التسليم</v>
      </c>
    </row>
    <row r="61" spans="1:25" ht="20.100000000000001" customHeight="1" x14ac:dyDescent="0.3">
      <c r="A61" t="s">
        <v>405</v>
      </c>
      <c r="B61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61" t="s">
        <v>356</v>
      </c>
      <c r="D61" t="s">
        <v>357</v>
      </c>
      <c r="E61" t="s">
        <v>7</v>
      </c>
      <c r="F61" t="s">
        <v>148</v>
      </c>
      <c r="G61" t="s">
        <v>163</v>
      </c>
      <c r="H61" t="s">
        <v>153</v>
      </c>
      <c r="I61">
        <v>120</v>
      </c>
      <c r="J61" t="s">
        <v>170</v>
      </c>
      <c r="K61" t="s">
        <v>170</v>
      </c>
      <c r="L61" t="s">
        <v>420</v>
      </c>
      <c r="M61" t="s">
        <v>112</v>
      </c>
      <c r="N61">
        <v>12999</v>
      </c>
      <c r="O61" t="s">
        <v>113</v>
      </c>
      <c r="P61" s="68">
        <v>45549</v>
      </c>
      <c r="Q61" s="67">
        <v>45616</v>
      </c>
      <c r="R61" s="67">
        <v>45582</v>
      </c>
      <c r="S61" s="71">
        <f>IF(OR(ISBLANK(table1[[#This Row],[ميعاد الطلب]]),ISBLANK(table1[[#This Row],[ميعاد التسليم]])),0,table1[[#This Row],[ميعاد التسليم]]-table1[[#This Row],[ميعاد الطلب]])</f>
        <v>67</v>
      </c>
      <c r="T61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33</v>
      </c>
      <c r="U61" s="83">
        <v>34</v>
      </c>
      <c r="V61" s="83" t="str" cm="1">
        <f t="array" ref="V61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61" t="s">
        <v>27</v>
      </c>
      <c r="X61" t="s">
        <v>196</v>
      </c>
      <c r="Y61" s="1" t="str">
        <f>TRIM(table1[[#This Row],[الحالة]])</f>
        <v>تم التسليم</v>
      </c>
    </row>
    <row r="62" spans="1:25" ht="20.100000000000001" customHeight="1" x14ac:dyDescent="0.3">
      <c r="A62" t="s">
        <v>114</v>
      </c>
      <c r="B62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62" t="s">
        <v>115</v>
      </c>
      <c r="D62" t="s">
        <v>343</v>
      </c>
      <c r="E62" t="s">
        <v>7</v>
      </c>
      <c r="F62" t="s">
        <v>159</v>
      </c>
      <c r="G62" t="s">
        <v>162</v>
      </c>
      <c r="H62"/>
      <c r="I62"/>
      <c r="J62" t="s">
        <v>334</v>
      </c>
      <c r="K62" t="s">
        <v>334</v>
      </c>
      <c r="L62" t="s">
        <v>170</v>
      </c>
      <c r="M62" t="s">
        <v>101</v>
      </c>
      <c r="N62">
        <v>21999</v>
      </c>
      <c r="O62" t="s">
        <v>15</v>
      </c>
      <c r="P62" s="68">
        <v>45549</v>
      </c>
      <c r="Q62" s="67">
        <v>45616</v>
      </c>
      <c r="R62" s="67"/>
      <c r="S62" s="71">
        <f>IF(OR(ISBLANK(table1[[#This Row],[ميعاد الطلب]]),ISBLANK(table1[[#This Row],[ميعاد التسليم]])),0,table1[[#This Row],[ميعاد التسليم]]-table1[[#This Row],[ميعاد الطلب]])</f>
        <v>67</v>
      </c>
      <c r="T62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62" s="83" t="s">
        <v>430</v>
      </c>
      <c r="V62" s="83" t="str" cm="1">
        <f t="array" ref="V62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62"/>
      <c r="X62" t="s">
        <v>234</v>
      </c>
      <c r="Y62" s="1" t="str">
        <f>TRIM(table1[[#This Row],[الحالة]])</f>
        <v>لاغى</v>
      </c>
    </row>
    <row r="63" spans="1:25" ht="20.100000000000001" customHeight="1" x14ac:dyDescent="0.3">
      <c r="A63" t="s">
        <v>406</v>
      </c>
      <c r="B63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63" t="s">
        <v>86</v>
      </c>
      <c r="D63" t="s">
        <v>344</v>
      </c>
      <c r="E63" t="s">
        <v>7</v>
      </c>
      <c r="F63" t="s">
        <v>148</v>
      </c>
      <c r="G63" t="s">
        <v>163</v>
      </c>
      <c r="H63" t="s">
        <v>150</v>
      </c>
      <c r="I63">
        <v>100</v>
      </c>
      <c r="J63" t="s">
        <v>170</v>
      </c>
      <c r="K63" t="s">
        <v>170</v>
      </c>
      <c r="L63" t="s">
        <v>420</v>
      </c>
      <c r="M63" t="s">
        <v>125</v>
      </c>
      <c r="N63">
        <v>12399</v>
      </c>
      <c r="O63" t="s">
        <v>15</v>
      </c>
      <c r="P63" s="68">
        <v>45549</v>
      </c>
      <c r="Q63" s="67">
        <v>45616</v>
      </c>
      <c r="R63" s="67">
        <v>45566</v>
      </c>
      <c r="S63" s="71">
        <f>IF(OR(ISBLANK(table1[[#This Row],[ميعاد الطلب]]),ISBLANK(table1[[#This Row],[ميعاد التسليم]])),0,table1[[#This Row],[ميعاد التسليم]]-table1[[#This Row],[ميعاد الطلب]])</f>
        <v>67</v>
      </c>
      <c r="T63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17</v>
      </c>
      <c r="U63" s="83">
        <v>50</v>
      </c>
      <c r="V63" s="83" t="str" cm="1">
        <f t="array" ref="V63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63" t="s">
        <v>27</v>
      </c>
      <c r="X63" t="s">
        <v>196</v>
      </c>
      <c r="Y63" s="1" t="str">
        <f>TRIM(table1[[#This Row],[الحالة]])</f>
        <v>تم التسليم</v>
      </c>
    </row>
    <row r="64" spans="1:25" ht="20.100000000000001" customHeight="1" x14ac:dyDescent="0.3">
      <c r="A64" t="s">
        <v>131</v>
      </c>
      <c r="B64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64" t="s">
        <v>66</v>
      </c>
      <c r="D64" t="s">
        <v>344</v>
      </c>
      <c r="E64" t="s">
        <v>7</v>
      </c>
      <c r="F64" t="s">
        <v>159</v>
      </c>
      <c r="G64" t="s">
        <v>162</v>
      </c>
      <c r="H64"/>
      <c r="I64"/>
      <c r="J64" t="s">
        <v>334</v>
      </c>
      <c r="K64" t="s">
        <v>334</v>
      </c>
      <c r="L64" t="s">
        <v>170</v>
      </c>
      <c r="M64" t="s">
        <v>101</v>
      </c>
      <c r="N64">
        <v>21999</v>
      </c>
      <c r="O64" t="s">
        <v>15</v>
      </c>
      <c r="P64" s="68">
        <v>45549</v>
      </c>
      <c r="Q64" s="67">
        <v>45616</v>
      </c>
      <c r="R64" s="67">
        <v>45574</v>
      </c>
      <c r="S64" s="71">
        <f>IF(OR(ISBLANK(table1[[#This Row],[ميعاد الطلب]]),ISBLANK(table1[[#This Row],[ميعاد التسليم]])),0,table1[[#This Row],[ميعاد التسليم]]-table1[[#This Row],[ميعاد الطلب]])</f>
        <v>67</v>
      </c>
      <c r="T64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25</v>
      </c>
      <c r="U64" s="83">
        <v>42</v>
      </c>
      <c r="V64" s="83" t="str" cm="1">
        <f t="array" ref="V64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64" t="s">
        <v>197</v>
      </c>
      <c r="X64" t="s">
        <v>226</v>
      </c>
      <c r="Y64" s="1" t="str">
        <f>TRIM(table1[[#This Row],[الحالة]])</f>
        <v>تم التسليم</v>
      </c>
    </row>
    <row r="65" spans="1:25" ht="20.100000000000001" customHeight="1" x14ac:dyDescent="0.3">
      <c r="A65" t="s">
        <v>407</v>
      </c>
      <c r="B65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65" t="s">
        <v>345</v>
      </c>
      <c r="D65" t="s">
        <v>344</v>
      </c>
      <c r="E65" t="s">
        <v>7</v>
      </c>
      <c r="F65" t="s">
        <v>148</v>
      </c>
      <c r="G65" t="s">
        <v>163</v>
      </c>
      <c r="H65" t="s">
        <v>150</v>
      </c>
      <c r="I65">
        <v>80</v>
      </c>
      <c r="J65" t="s">
        <v>333</v>
      </c>
      <c r="K65" t="s">
        <v>333</v>
      </c>
      <c r="L65" t="s">
        <v>420</v>
      </c>
      <c r="M65" t="s">
        <v>135</v>
      </c>
      <c r="N65">
        <v>10999</v>
      </c>
      <c r="O65" t="s">
        <v>113</v>
      </c>
      <c r="P65" s="68">
        <v>45549</v>
      </c>
      <c r="Q65" s="67">
        <v>45616</v>
      </c>
      <c r="R65" s="67">
        <v>45581</v>
      </c>
      <c r="S65" s="71">
        <f>IF(OR(ISBLANK(table1[[#This Row],[ميعاد الطلب]]),ISBLANK(table1[[#This Row],[ميعاد التسليم]])),0,table1[[#This Row],[ميعاد التسليم]]-table1[[#This Row],[ميعاد الطلب]])</f>
        <v>67</v>
      </c>
      <c r="T65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32</v>
      </c>
      <c r="U65" s="83">
        <v>35</v>
      </c>
      <c r="V65" s="83" t="str" cm="1">
        <f t="array" ref="V65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65" t="s">
        <v>197</v>
      </c>
      <c r="X65" t="s">
        <v>226</v>
      </c>
      <c r="Y65" s="1" t="str">
        <f>TRIM(table1[[#This Row],[الحالة]])</f>
        <v>تم التسليم</v>
      </c>
    </row>
    <row r="66" spans="1:25" ht="20.100000000000001" customHeight="1" x14ac:dyDescent="0.3">
      <c r="A66" t="s">
        <v>181</v>
      </c>
      <c r="B66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66" t="s">
        <v>182</v>
      </c>
      <c r="D66" t="s">
        <v>344</v>
      </c>
      <c r="E66" t="s">
        <v>7</v>
      </c>
      <c r="F66" t="s">
        <v>148</v>
      </c>
      <c r="G66" t="s">
        <v>163</v>
      </c>
      <c r="H66" t="s">
        <v>153</v>
      </c>
      <c r="I66">
        <v>80</v>
      </c>
      <c r="J66" t="s">
        <v>333</v>
      </c>
      <c r="K66" t="s">
        <v>333</v>
      </c>
      <c r="L66" t="s">
        <v>420</v>
      </c>
      <c r="M66"/>
      <c r="N66">
        <v>10999</v>
      </c>
      <c r="O66" t="s">
        <v>113</v>
      </c>
      <c r="P66" s="68">
        <v>45550</v>
      </c>
      <c r="Q66" s="67">
        <v>45616</v>
      </c>
      <c r="R66" s="67">
        <v>45581</v>
      </c>
      <c r="S66" s="71">
        <f>IF(OR(ISBLANK(table1[[#This Row],[ميعاد الطلب]]),ISBLANK(table1[[#This Row],[ميعاد التسليم]])),0,table1[[#This Row],[ميعاد التسليم]]-table1[[#This Row],[ميعاد الطلب]])</f>
        <v>66</v>
      </c>
      <c r="T66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31</v>
      </c>
      <c r="U66" s="83">
        <v>35</v>
      </c>
      <c r="V66" s="83" t="str" cm="1">
        <f t="array" ref="V66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66" t="s">
        <v>197</v>
      </c>
      <c r="X66" t="s">
        <v>226</v>
      </c>
      <c r="Y66" s="1" t="str">
        <f>TRIM(table1[[#This Row],[الحالة]])</f>
        <v>تم التسليم</v>
      </c>
    </row>
    <row r="67" spans="1:25" ht="20.100000000000001" customHeight="1" x14ac:dyDescent="0.3">
      <c r="A67" t="s">
        <v>181</v>
      </c>
      <c r="B67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67" t="s">
        <v>182</v>
      </c>
      <c r="D67" t="s">
        <v>344</v>
      </c>
      <c r="E67" t="s">
        <v>7</v>
      </c>
      <c r="F67" t="s">
        <v>148</v>
      </c>
      <c r="G67" t="s">
        <v>163</v>
      </c>
      <c r="H67" t="s">
        <v>153</v>
      </c>
      <c r="I67">
        <v>80</v>
      </c>
      <c r="J67" t="s">
        <v>333</v>
      </c>
      <c r="K67" t="s">
        <v>333</v>
      </c>
      <c r="L67" t="s">
        <v>420</v>
      </c>
      <c r="M67"/>
      <c r="N67">
        <v>10999</v>
      </c>
      <c r="O67" t="s">
        <v>113</v>
      </c>
      <c r="P67" s="68">
        <v>45550</v>
      </c>
      <c r="Q67" s="67">
        <v>45616</v>
      </c>
      <c r="R67" s="67">
        <v>45581</v>
      </c>
      <c r="S67" s="71">
        <f>IF(OR(ISBLANK(table1[[#This Row],[ميعاد الطلب]]),ISBLANK(table1[[#This Row],[ميعاد التسليم]])),0,table1[[#This Row],[ميعاد التسليم]]-table1[[#This Row],[ميعاد الطلب]])</f>
        <v>66</v>
      </c>
      <c r="T67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31</v>
      </c>
      <c r="U67" s="83">
        <v>35</v>
      </c>
      <c r="V67" s="83" t="str" cm="1">
        <f t="array" ref="V67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67" t="s">
        <v>197</v>
      </c>
      <c r="X67" t="s">
        <v>226</v>
      </c>
      <c r="Y67" s="1" t="str">
        <f>TRIM(table1[[#This Row],[الحالة]])</f>
        <v>تم التسليم</v>
      </c>
    </row>
    <row r="68" spans="1:25" ht="20.100000000000001" customHeight="1" x14ac:dyDescent="0.3">
      <c r="A68" t="s">
        <v>183</v>
      </c>
      <c r="B68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68" t="s">
        <v>184</v>
      </c>
      <c r="D68" t="s">
        <v>344</v>
      </c>
      <c r="E68" t="s">
        <v>7</v>
      </c>
      <c r="F68" t="s">
        <v>159</v>
      </c>
      <c r="G68" t="s">
        <v>162</v>
      </c>
      <c r="H68"/>
      <c r="I68"/>
      <c r="J68" t="s">
        <v>334</v>
      </c>
      <c r="K68" t="s">
        <v>334</v>
      </c>
      <c r="L68" t="s">
        <v>170</v>
      </c>
      <c r="M68"/>
      <c r="N68">
        <v>21999</v>
      </c>
      <c r="O68" t="s">
        <v>113</v>
      </c>
      <c r="P68" s="68">
        <v>45550</v>
      </c>
      <c r="Q68" s="67">
        <v>45616</v>
      </c>
      <c r="R68" s="67">
        <v>45584</v>
      </c>
      <c r="S68" s="71">
        <f>IF(OR(ISBLANK(table1[[#This Row],[ميعاد الطلب]]),ISBLANK(table1[[#This Row],[ميعاد التسليم]])),0,table1[[#This Row],[ميعاد التسليم]]-table1[[#This Row],[ميعاد الطلب]])</f>
        <v>66</v>
      </c>
      <c r="T68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34</v>
      </c>
      <c r="U68" s="83">
        <v>32</v>
      </c>
      <c r="V68" s="83" t="str" cm="1">
        <f t="array" ref="V68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68" t="s">
        <v>197</v>
      </c>
      <c r="X68" t="s">
        <v>226</v>
      </c>
      <c r="Y68" s="1" t="str">
        <f>TRIM(table1[[#This Row],[الحالة]])</f>
        <v>تم التسليم</v>
      </c>
    </row>
    <row r="69" spans="1:25" ht="20.100000000000001" customHeight="1" x14ac:dyDescent="0.3">
      <c r="A69" t="s">
        <v>194</v>
      </c>
      <c r="B69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69" t="s">
        <v>142</v>
      </c>
      <c r="D69" t="s">
        <v>349</v>
      </c>
      <c r="E69" t="s">
        <v>7</v>
      </c>
      <c r="F69" t="s">
        <v>155</v>
      </c>
      <c r="G69" t="s">
        <v>185</v>
      </c>
      <c r="H69"/>
      <c r="I69"/>
      <c r="J69" t="s">
        <v>420</v>
      </c>
      <c r="K69" t="s">
        <v>420</v>
      </c>
      <c r="L69" t="s">
        <v>420</v>
      </c>
      <c r="M69"/>
      <c r="N69">
        <v>7849</v>
      </c>
      <c r="O69">
        <v>6306</v>
      </c>
      <c r="P69" s="68">
        <v>45551</v>
      </c>
      <c r="Q69" s="67">
        <v>45595</v>
      </c>
      <c r="R69" s="67">
        <v>45610</v>
      </c>
      <c r="S69" s="71">
        <f>IF(OR(ISBLANK(table1[[#This Row],[ميعاد الطلب]]),ISBLANK(table1[[#This Row],[ميعاد التسليم]])),0,table1[[#This Row],[ميعاد التسليم]]-table1[[#This Row],[ميعاد الطلب]])</f>
        <v>44</v>
      </c>
      <c r="T69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59</v>
      </c>
      <c r="U69" s="83">
        <v>-15</v>
      </c>
      <c r="V69" s="83" t="str" cm="1">
        <f t="array" ref="V69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69" t="s">
        <v>27</v>
      </c>
      <c r="X69" t="s">
        <v>196</v>
      </c>
      <c r="Y69" s="1" t="str">
        <f>TRIM(table1[[#This Row],[الحالة]])</f>
        <v>تم التسليم</v>
      </c>
    </row>
    <row r="70" spans="1:25" ht="20.100000000000001" customHeight="1" x14ac:dyDescent="0.3">
      <c r="A70" t="s">
        <v>81</v>
      </c>
      <c r="B70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70" t="s">
        <v>358</v>
      </c>
      <c r="D70" t="s">
        <v>348</v>
      </c>
      <c r="E70" t="s">
        <v>415</v>
      </c>
      <c r="F70" t="s">
        <v>148</v>
      </c>
      <c r="G70" t="s">
        <v>163</v>
      </c>
      <c r="H70" t="s">
        <v>153</v>
      </c>
      <c r="I70">
        <v>80</v>
      </c>
      <c r="J70" t="s">
        <v>333</v>
      </c>
      <c r="K70" t="s">
        <v>333</v>
      </c>
      <c r="L70" t="s">
        <v>420</v>
      </c>
      <c r="M70"/>
      <c r="N70">
        <v>5074</v>
      </c>
      <c r="O70" t="s">
        <v>83</v>
      </c>
      <c r="P70" s="68">
        <v>45556</v>
      </c>
      <c r="Q70" s="67">
        <v>45570</v>
      </c>
      <c r="R70" s="67">
        <v>45577</v>
      </c>
      <c r="S70" s="71">
        <f>IF(OR(ISBLANK(table1[[#This Row],[ميعاد الطلب]]),ISBLANK(table1[[#This Row],[ميعاد التسليم]])),0,table1[[#This Row],[ميعاد التسليم]]-table1[[#This Row],[ميعاد الطلب]])</f>
        <v>14</v>
      </c>
      <c r="T70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21</v>
      </c>
      <c r="U70" s="83">
        <v>-7</v>
      </c>
      <c r="V70" s="83" t="str" cm="1">
        <f t="array" ref="V70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70" t="s">
        <v>197</v>
      </c>
      <c r="X70" t="s">
        <v>226</v>
      </c>
      <c r="Y70" s="1" t="str">
        <f>TRIM(table1[[#This Row],[الحالة]])</f>
        <v>تم التسليم</v>
      </c>
    </row>
    <row r="71" spans="1:25" ht="20.100000000000001" customHeight="1" x14ac:dyDescent="0.3">
      <c r="A71" t="s">
        <v>42</v>
      </c>
      <c r="B71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71" t="s">
        <v>41</v>
      </c>
      <c r="D71" t="s">
        <v>344</v>
      </c>
      <c r="E71" t="s">
        <v>42</v>
      </c>
      <c r="F71" t="s">
        <v>148</v>
      </c>
      <c r="G71" t="s">
        <v>163</v>
      </c>
      <c r="H71" t="s">
        <v>152</v>
      </c>
      <c r="I71">
        <v>100</v>
      </c>
      <c r="J71" t="s">
        <v>418</v>
      </c>
      <c r="K71" t="s">
        <v>418</v>
      </c>
      <c r="L71" t="s">
        <v>420</v>
      </c>
      <c r="M71"/>
      <c r="N71">
        <v>6250</v>
      </c>
      <c r="O71" t="s">
        <v>83</v>
      </c>
      <c r="P71" s="68">
        <v>45558</v>
      </c>
      <c r="Q71" s="67">
        <v>45573</v>
      </c>
      <c r="R71" s="67">
        <v>45582</v>
      </c>
      <c r="S71" s="71">
        <f>IF(OR(ISBLANK(table1[[#This Row],[ميعاد الطلب]]),ISBLANK(table1[[#This Row],[ميعاد التسليم]])),0,table1[[#This Row],[ميعاد التسليم]]-table1[[#This Row],[ميعاد الطلب]])</f>
        <v>15</v>
      </c>
      <c r="T71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24</v>
      </c>
      <c r="U71" s="83">
        <v>-9</v>
      </c>
      <c r="V71" s="83" t="str" cm="1">
        <f t="array" ref="V71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71" t="s">
        <v>197</v>
      </c>
      <c r="X71" t="s">
        <v>226</v>
      </c>
      <c r="Y71" s="1" t="str">
        <f>TRIM(table1[[#This Row],[الحالة]])</f>
        <v>تم التسليم</v>
      </c>
    </row>
    <row r="72" spans="1:25" ht="20.100000000000001" customHeight="1" x14ac:dyDescent="0.3">
      <c r="A72" t="s">
        <v>42</v>
      </c>
      <c r="B72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72" t="s">
        <v>41</v>
      </c>
      <c r="D72" t="s">
        <v>344</v>
      </c>
      <c r="E72" t="s">
        <v>42</v>
      </c>
      <c r="F72" t="s">
        <v>148</v>
      </c>
      <c r="G72" t="s">
        <v>163</v>
      </c>
      <c r="H72" t="s">
        <v>152</v>
      </c>
      <c r="I72">
        <v>100</v>
      </c>
      <c r="J72" t="s">
        <v>418</v>
      </c>
      <c r="K72" t="s">
        <v>418</v>
      </c>
      <c r="L72" t="s">
        <v>420</v>
      </c>
      <c r="M72"/>
      <c r="N72">
        <v>6250</v>
      </c>
      <c r="O72" t="s">
        <v>83</v>
      </c>
      <c r="P72" s="68">
        <v>45558</v>
      </c>
      <c r="Q72" s="67">
        <v>45573</v>
      </c>
      <c r="R72" s="67">
        <v>45582</v>
      </c>
      <c r="S72" s="71">
        <f>IF(OR(ISBLANK(table1[[#This Row],[ميعاد الطلب]]),ISBLANK(table1[[#This Row],[ميعاد التسليم]])),0,table1[[#This Row],[ميعاد التسليم]]-table1[[#This Row],[ميعاد الطلب]])</f>
        <v>15</v>
      </c>
      <c r="T72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24</v>
      </c>
      <c r="U72" s="83">
        <v>-9</v>
      </c>
      <c r="V72" s="83" t="str" cm="1">
        <f t="array" ref="V72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72" t="s">
        <v>197</v>
      </c>
      <c r="X72" t="s">
        <v>226</v>
      </c>
      <c r="Y72" s="1" t="str">
        <f>TRIM(table1[[#This Row],[الحالة]])</f>
        <v>تم التسليم</v>
      </c>
    </row>
    <row r="73" spans="1:25" ht="20.100000000000001" customHeight="1" x14ac:dyDescent="0.3">
      <c r="A73" t="s">
        <v>200</v>
      </c>
      <c r="B73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73" t="s">
        <v>41</v>
      </c>
      <c r="D73" t="s">
        <v>344</v>
      </c>
      <c r="E73" t="s">
        <v>7</v>
      </c>
      <c r="F73" t="s">
        <v>148</v>
      </c>
      <c r="G73" t="s">
        <v>151</v>
      </c>
      <c r="H73" t="s">
        <v>175</v>
      </c>
      <c r="I73">
        <v>120</v>
      </c>
      <c r="J73" t="s">
        <v>333</v>
      </c>
      <c r="K73" t="s">
        <v>333</v>
      </c>
      <c r="L73" t="s">
        <v>420</v>
      </c>
      <c r="M73"/>
      <c r="N73">
        <v>8943</v>
      </c>
      <c r="O73">
        <v>9033</v>
      </c>
      <c r="P73" s="68">
        <v>45561</v>
      </c>
      <c r="Q73" s="67">
        <v>45606</v>
      </c>
      <c r="R73" s="67">
        <v>45575</v>
      </c>
      <c r="S73" s="71">
        <f>IF(OR(ISBLANK(table1[[#This Row],[ميعاد الطلب]]),ISBLANK(table1[[#This Row],[ميعاد التسليم]])),0,table1[[#This Row],[ميعاد التسليم]]-table1[[#This Row],[ميعاد الطلب]])</f>
        <v>45</v>
      </c>
      <c r="T73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14</v>
      </c>
      <c r="U73" s="83">
        <v>31</v>
      </c>
      <c r="V73" s="83" t="str" cm="1">
        <f t="array" ref="V73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73" t="s">
        <v>197</v>
      </c>
      <c r="X73" t="s">
        <v>226</v>
      </c>
      <c r="Y73" s="1" t="str">
        <f>TRIM(table1[[#This Row],[الحالة]])</f>
        <v>تم التسليم</v>
      </c>
    </row>
    <row r="74" spans="1:25" ht="20.100000000000001" customHeight="1" x14ac:dyDescent="0.3">
      <c r="A74" t="s">
        <v>201</v>
      </c>
      <c r="B74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74" t="s">
        <v>202</v>
      </c>
      <c r="D74" t="s">
        <v>339</v>
      </c>
      <c r="E74" t="s">
        <v>7</v>
      </c>
      <c r="F74" t="s">
        <v>155</v>
      </c>
      <c r="G74" t="s">
        <v>187</v>
      </c>
      <c r="H74"/>
      <c r="I74"/>
      <c r="J74" t="s">
        <v>420</v>
      </c>
      <c r="K74" t="s">
        <v>420</v>
      </c>
      <c r="L74" t="s">
        <v>420</v>
      </c>
      <c r="M74"/>
      <c r="N74">
        <v>8349</v>
      </c>
      <c r="O74">
        <v>8433</v>
      </c>
      <c r="P74" s="68">
        <v>45561</v>
      </c>
      <c r="Q74" s="67">
        <v>45606</v>
      </c>
      <c r="R74" s="67"/>
      <c r="S74" s="71">
        <f>IF(OR(ISBLANK(table1[[#This Row],[ميعاد الطلب]]),ISBLANK(table1[[#This Row],[ميعاد التسليم]])),0,table1[[#This Row],[ميعاد التسليم]]-table1[[#This Row],[ميعاد الطلب]])</f>
        <v>45</v>
      </c>
      <c r="T74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74" s="83" t="s">
        <v>430</v>
      </c>
      <c r="V74" s="83" t="str" cm="1">
        <f t="array" ref="V74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74"/>
      <c r="X74" t="s">
        <v>234</v>
      </c>
      <c r="Y74" s="1" t="str">
        <f>TRIM(table1[[#This Row],[الحالة]])</f>
        <v>لاغى</v>
      </c>
    </row>
    <row r="75" spans="1:25" ht="20.100000000000001" customHeight="1" x14ac:dyDescent="0.3">
      <c r="A75" t="s">
        <v>51</v>
      </c>
      <c r="B75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75" t="s">
        <v>228</v>
      </c>
      <c r="D75" t="s">
        <v>344</v>
      </c>
      <c r="E75" t="s">
        <v>51</v>
      </c>
      <c r="F75" t="s">
        <v>159</v>
      </c>
      <c r="G75" t="s">
        <v>204</v>
      </c>
      <c r="H75"/>
      <c r="I75"/>
      <c r="J75" t="s">
        <v>420</v>
      </c>
      <c r="K75" t="s">
        <v>420</v>
      </c>
      <c r="L75" t="s">
        <v>421</v>
      </c>
      <c r="M75"/>
      <c r="N75">
        <v>14950</v>
      </c>
      <c r="O75" t="s">
        <v>15</v>
      </c>
      <c r="P75" s="68">
        <v>45561</v>
      </c>
      <c r="Q75" s="67">
        <v>45579</v>
      </c>
      <c r="R75" s="67">
        <v>45578</v>
      </c>
      <c r="S75" s="71">
        <f>IF(OR(ISBLANK(table1[[#This Row],[ميعاد الطلب]]),ISBLANK(table1[[#This Row],[ميعاد التسليم]])),0,table1[[#This Row],[ميعاد التسليم]]-table1[[#This Row],[ميعاد الطلب]])</f>
        <v>18</v>
      </c>
      <c r="T75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17</v>
      </c>
      <c r="U75" s="83">
        <v>1</v>
      </c>
      <c r="V75" s="83" t="str" cm="1">
        <f t="array" ref="V75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75" t="s">
        <v>197</v>
      </c>
      <c r="X75" t="s">
        <v>196</v>
      </c>
      <c r="Y75" s="1" t="str">
        <f>TRIM(table1[[#This Row],[الحالة]])</f>
        <v>تم التسليم</v>
      </c>
    </row>
    <row r="76" spans="1:25" ht="20.100000000000001" customHeight="1" x14ac:dyDescent="0.3">
      <c r="A76" t="s">
        <v>51</v>
      </c>
      <c r="B76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76"/>
      <c r="D76" t="e">
        <v>#N/A</v>
      </c>
      <c r="E76" t="s">
        <v>51</v>
      </c>
      <c r="F76" t="s">
        <v>148</v>
      </c>
      <c r="G76" t="s">
        <v>163</v>
      </c>
      <c r="H76" t="s">
        <v>152</v>
      </c>
      <c r="I76">
        <v>100</v>
      </c>
      <c r="J76" t="s">
        <v>334</v>
      </c>
      <c r="K76" t="s">
        <v>334</v>
      </c>
      <c r="L76" t="s">
        <v>420</v>
      </c>
      <c r="M76"/>
      <c r="N76">
        <v>9208</v>
      </c>
      <c r="O76">
        <v>9608</v>
      </c>
      <c r="P76" s="68">
        <v>45561</v>
      </c>
      <c r="Q76" s="67">
        <v>45579</v>
      </c>
      <c r="R76" s="67"/>
      <c r="S76" s="71">
        <f>IF(OR(ISBLANK(table1[[#This Row],[ميعاد الطلب]]),ISBLANK(table1[[#This Row],[ميعاد التسليم]])),0,table1[[#This Row],[ميعاد التسليم]]-table1[[#This Row],[ميعاد الطلب]])</f>
        <v>18</v>
      </c>
      <c r="T76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76" s="83" t="s">
        <v>430</v>
      </c>
      <c r="V76" s="83" t="str" cm="1">
        <f t="array" ref="V76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76"/>
      <c r="X76" t="s">
        <v>234</v>
      </c>
      <c r="Y76" s="1" t="str">
        <f>TRIM(table1[[#This Row],[الحالة]])</f>
        <v>لاغى</v>
      </c>
    </row>
    <row r="77" spans="1:25" ht="20.100000000000001" customHeight="1" x14ac:dyDescent="0.3">
      <c r="A77" t="s">
        <v>51</v>
      </c>
      <c r="B77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77"/>
      <c r="D77" t="e">
        <v>#N/A</v>
      </c>
      <c r="E77" t="s">
        <v>51</v>
      </c>
      <c r="F77" t="s">
        <v>148</v>
      </c>
      <c r="G77" t="s">
        <v>151</v>
      </c>
      <c r="H77" t="s">
        <v>154</v>
      </c>
      <c r="I77">
        <v>120</v>
      </c>
      <c r="J77" t="s">
        <v>333</v>
      </c>
      <c r="K77" t="s">
        <v>333</v>
      </c>
      <c r="L77" t="s">
        <v>420</v>
      </c>
      <c r="M77"/>
      <c r="N77">
        <v>7433</v>
      </c>
      <c r="O77" t="s">
        <v>15</v>
      </c>
      <c r="P77" s="68">
        <v>45564</v>
      </c>
      <c r="Q77" s="67">
        <v>45585</v>
      </c>
      <c r="R77" s="67">
        <v>45586</v>
      </c>
      <c r="S77" s="71">
        <f>IF(OR(ISBLANK(table1[[#This Row],[ميعاد الطلب]]),ISBLANK(table1[[#This Row],[ميعاد التسليم]])),0,table1[[#This Row],[ميعاد التسليم]]-table1[[#This Row],[ميعاد الطلب]])</f>
        <v>21</v>
      </c>
      <c r="T77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22</v>
      </c>
      <c r="U77" s="83">
        <v>-1</v>
      </c>
      <c r="V77" s="83" t="str" cm="1">
        <f t="array" ref="V77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77" t="s">
        <v>197</v>
      </c>
      <c r="X77" t="s">
        <v>196</v>
      </c>
      <c r="Y77" s="1" t="str">
        <f>TRIM(table1[[#This Row],[الحالة]])</f>
        <v>تم التسليم</v>
      </c>
    </row>
    <row r="78" spans="1:25" ht="20.100000000000001" customHeight="1" x14ac:dyDescent="0.3">
      <c r="A78" t="s">
        <v>81</v>
      </c>
      <c r="B78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78" t="s">
        <v>358</v>
      </c>
      <c r="D78" t="s">
        <v>348</v>
      </c>
      <c r="E78" t="s">
        <v>415</v>
      </c>
      <c r="F78" t="s">
        <v>148</v>
      </c>
      <c r="G78" t="s">
        <v>151</v>
      </c>
      <c r="H78" t="s">
        <v>175</v>
      </c>
      <c r="I78">
        <v>120</v>
      </c>
      <c r="J78" t="s">
        <v>333</v>
      </c>
      <c r="K78" t="s">
        <v>333</v>
      </c>
      <c r="L78" t="s">
        <v>420</v>
      </c>
      <c r="M78"/>
      <c r="N78">
        <v>4020</v>
      </c>
      <c r="O78" t="s">
        <v>83</v>
      </c>
      <c r="P78" s="68">
        <v>45564</v>
      </c>
      <c r="Q78" s="67">
        <v>45577</v>
      </c>
      <c r="R78" s="67">
        <v>45577</v>
      </c>
      <c r="S78" s="71">
        <f>IF(OR(ISBLANK(table1[[#This Row],[ميعاد الطلب]]),ISBLANK(table1[[#This Row],[ميعاد التسليم]])),0,table1[[#This Row],[ميعاد التسليم]]-table1[[#This Row],[ميعاد الطلب]])</f>
        <v>13</v>
      </c>
      <c r="T78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13</v>
      </c>
      <c r="U78" s="83">
        <v>0</v>
      </c>
      <c r="V78" s="83" t="str" cm="1">
        <f t="array" ref="V78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78" t="s">
        <v>197</v>
      </c>
      <c r="X78" t="s">
        <v>226</v>
      </c>
      <c r="Y78" s="1" t="str">
        <f>TRIM(table1[[#This Row],[الحالة]])</f>
        <v>تم التسليم</v>
      </c>
    </row>
    <row r="79" spans="1:25" ht="20.100000000000001" customHeight="1" x14ac:dyDescent="0.3">
      <c r="A79" t="s">
        <v>208</v>
      </c>
      <c r="B79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79" t="s">
        <v>210</v>
      </c>
      <c r="D79" t="s">
        <v>349</v>
      </c>
      <c r="E79" t="s">
        <v>210</v>
      </c>
      <c r="F79" t="s">
        <v>148</v>
      </c>
      <c r="G79" t="s">
        <v>163</v>
      </c>
      <c r="H79" t="s">
        <v>211</v>
      </c>
      <c r="I79">
        <v>100</v>
      </c>
      <c r="J79" t="s">
        <v>212</v>
      </c>
      <c r="K79" t="s">
        <v>212</v>
      </c>
      <c r="L79" t="s">
        <v>420</v>
      </c>
      <c r="M79"/>
      <c r="N79">
        <v>8544.9054400000005</v>
      </c>
      <c r="O79"/>
      <c r="P79" s="68">
        <v>45566</v>
      </c>
      <c r="Q79" s="67">
        <v>45574</v>
      </c>
      <c r="R79" s="67">
        <v>45574</v>
      </c>
      <c r="S79" s="71">
        <f>IF(OR(ISBLANK(table1[[#This Row],[ميعاد الطلب]]),ISBLANK(table1[[#This Row],[ميعاد التسليم]])),0,table1[[#This Row],[ميعاد التسليم]]-table1[[#This Row],[ميعاد الطلب]])</f>
        <v>8</v>
      </c>
      <c r="T79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8</v>
      </c>
      <c r="U79" s="83">
        <v>0</v>
      </c>
      <c r="V79" s="83" t="str" cm="1">
        <f t="array" ref="V79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79" t="s">
        <v>225</v>
      </c>
      <c r="X79" t="s">
        <v>196</v>
      </c>
      <c r="Y79" s="1" t="str">
        <f>TRIM(table1[[#This Row],[الحالة]])</f>
        <v>تم التسليم</v>
      </c>
    </row>
    <row r="80" spans="1:25" ht="20.100000000000001" customHeight="1" x14ac:dyDescent="0.3">
      <c r="A80" t="s">
        <v>208</v>
      </c>
      <c r="B80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80" t="s">
        <v>210</v>
      </c>
      <c r="D80" t="s">
        <v>349</v>
      </c>
      <c r="E80" t="s">
        <v>210</v>
      </c>
      <c r="F80" t="s">
        <v>148</v>
      </c>
      <c r="G80" t="s">
        <v>149</v>
      </c>
      <c r="H80"/>
      <c r="I80"/>
      <c r="J80" t="s">
        <v>334</v>
      </c>
      <c r="K80" t="s">
        <v>334</v>
      </c>
      <c r="L80" t="s">
        <v>216</v>
      </c>
      <c r="M80"/>
      <c r="N80">
        <v>4600</v>
      </c>
      <c r="O80"/>
      <c r="P80" s="68">
        <v>45566</v>
      </c>
      <c r="Q80" s="67">
        <v>45574</v>
      </c>
      <c r="R80" s="67">
        <v>45574</v>
      </c>
      <c r="S80" s="71">
        <f>IF(OR(ISBLANK(table1[[#This Row],[ميعاد الطلب]]),ISBLANK(table1[[#This Row],[ميعاد التسليم]])),0,table1[[#This Row],[ميعاد التسليم]]-table1[[#This Row],[ميعاد الطلب]])</f>
        <v>8</v>
      </c>
      <c r="T80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8</v>
      </c>
      <c r="U80" s="83">
        <v>0</v>
      </c>
      <c r="V80" s="83" t="str" cm="1">
        <f t="array" ref="V80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80" t="s">
        <v>225</v>
      </c>
      <c r="X80" t="s">
        <v>196</v>
      </c>
      <c r="Y80" s="1" t="str">
        <f>TRIM(table1[[#This Row],[الحالة]])</f>
        <v>تم التسليم</v>
      </c>
    </row>
    <row r="81" spans="1:25" ht="20.100000000000001" customHeight="1" x14ac:dyDescent="0.3">
      <c r="A81" t="s">
        <v>208</v>
      </c>
      <c r="B81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81" t="s">
        <v>210</v>
      </c>
      <c r="D81" t="s">
        <v>349</v>
      </c>
      <c r="E81" t="s">
        <v>210</v>
      </c>
      <c r="F81" t="s">
        <v>159</v>
      </c>
      <c r="G81" t="s">
        <v>213</v>
      </c>
      <c r="H81"/>
      <c r="I81"/>
      <c r="J81" t="s">
        <v>334</v>
      </c>
      <c r="K81" t="s">
        <v>334</v>
      </c>
      <c r="L81" t="s">
        <v>214</v>
      </c>
      <c r="M81"/>
      <c r="N81">
        <v>10000</v>
      </c>
      <c r="O81"/>
      <c r="P81" s="68">
        <v>45566</v>
      </c>
      <c r="Q81" s="67">
        <v>45574</v>
      </c>
      <c r="R81" s="67">
        <v>45574</v>
      </c>
      <c r="S81" s="71">
        <f>IF(OR(ISBLANK(table1[[#This Row],[ميعاد الطلب]]),ISBLANK(table1[[#This Row],[ميعاد التسليم]])),0,table1[[#This Row],[ميعاد التسليم]]-table1[[#This Row],[ميعاد الطلب]])</f>
        <v>8</v>
      </c>
      <c r="T81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8</v>
      </c>
      <c r="U81" s="83">
        <v>0</v>
      </c>
      <c r="V81" s="83" t="str" cm="1">
        <f t="array" ref="V81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81" t="s">
        <v>225</v>
      </c>
      <c r="X81" t="s">
        <v>196</v>
      </c>
      <c r="Y81" s="1" t="str">
        <f>TRIM(table1[[#This Row],[الحالة]])</f>
        <v>تم التسليم</v>
      </c>
    </row>
    <row r="82" spans="1:25" ht="20.100000000000001" customHeight="1" x14ac:dyDescent="0.3">
      <c r="A82" t="s">
        <v>208</v>
      </c>
      <c r="B82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82" t="s">
        <v>210</v>
      </c>
      <c r="D82" t="s">
        <v>349</v>
      </c>
      <c r="E82" t="s">
        <v>210</v>
      </c>
      <c r="F82" t="s">
        <v>217</v>
      </c>
      <c r="G82"/>
      <c r="H82"/>
      <c r="I82"/>
      <c r="J82" t="s">
        <v>334</v>
      </c>
      <c r="K82" t="s">
        <v>334</v>
      </c>
      <c r="L82" t="s">
        <v>421</v>
      </c>
      <c r="M82"/>
      <c r="N82">
        <v>10000</v>
      </c>
      <c r="O82"/>
      <c r="P82" s="68">
        <v>45566</v>
      </c>
      <c r="Q82" s="67">
        <v>45574</v>
      </c>
      <c r="R82" s="67">
        <v>45574</v>
      </c>
      <c r="S82" s="71">
        <f>IF(OR(ISBLANK(table1[[#This Row],[ميعاد الطلب]]),ISBLANK(table1[[#This Row],[ميعاد التسليم]])),0,table1[[#This Row],[ميعاد التسليم]]-table1[[#This Row],[ميعاد الطلب]])</f>
        <v>8</v>
      </c>
      <c r="T82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8</v>
      </c>
      <c r="U82" s="83">
        <v>0</v>
      </c>
      <c r="V82" s="83" t="str" cm="1">
        <f t="array" ref="V82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82" t="s">
        <v>225</v>
      </c>
      <c r="X82" t="s">
        <v>196</v>
      </c>
      <c r="Y82" s="1" t="str">
        <f>TRIM(table1[[#This Row],[الحالة]])</f>
        <v>تم التسليم</v>
      </c>
    </row>
    <row r="83" spans="1:25" ht="20.100000000000001" customHeight="1" x14ac:dyDescent="0.3">
      <c r="A83" t="s">
        <v>219</v>
      </c>
      <c r="B83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83" t="s">
        <v>220</v>
      </c>
      <c r="D83" t="s">
        <v>344</v>
      </c>
      <c r="E83" t="s">
        <v>7</v>
      </c>
      <c r="F83" t="s">
        <v>148</v>
      </c>
      <c r="G83" t="s">
        <v>149</v>
      </c>
      <c r="H83"/>
      <c r="I83"/>
      <c r="J83" t="s">
        <v>334</v>
      </c>
      <c r="K83" t="s">
        <v>334</v>
      </c>
      <c r="L83" t="s">
        <v>334</v>
      </c>
      <c r="M83"/>
      <c r="N83">
        <v>8899</v>
      </c>
      <c r="O83">
        <v>8988</v>
      </c>
      <c r="P83" s="68">
        <v>45568</v>
      </c>
      <c r="Q83" s="67">
        <v>45613</v>
      </c>
      <c r="R83" s="67"/>
      <c r="S83" s="71">
        <f>IF(OR(ISBLANK(table1[[#This Row],[ميعاد الطلب]]),ISBLANK(table1[[#This Row],[ميعاد التسليم]])),0,table1[[#This Row],[ميعاد التسليم]]-table1[[#This Row],[ميعاد الطلب]])</f>
        <v>45</v>
      </c>
      <c r="T83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83" s="83" t="s">
        <v>430</v>
      </c>
      <c r="V83" s="83" t="str" cm="1">
        <f t="array" ref="V83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83"/>
      <c r="X83"/>
      <c r="Y83" s="1" t="str">
        <f>TRIM(table1[[#This Row],[الحالة]])</f>
        <v/>
      </c>
    </row>
    <row r="84" spans="1:25" ht="20.100000000000001" customHeight="1" x14ac:dyDescent="0.3">
      <c r="A84" t="s">
        <v>51</v>
      </c>
      <c r="B84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84" t="s">
        <v>222</v>
      </c>
      <c r="D84" t="s">
        <v>359</v>
      </c>
      <c r="E84" t="s">
        <v>51</v>
      </c>
      <c r="F84" t="s">
        <v>159</v>
      </c>
      <c r="G84" t="s">
        <v>204</v>
      </c>
      <c r="H84"/>
      <c r="I84"/>
      <c r="J84" t="s">
        <v>334</v>
      </c>
      <c r="K84" t="s">
        <v>334</v>
      </c>
      <c r="L84" t="s">
        <v>257</v>
      </c>
      <c r="M84"/>
      <c r="N84">
        <v>14550</v>
      </c>
      <c r="O84" t="s">
        <v>15</v>
      </c>
      <c r="P84" s="68">
        <v>45573</v>
      </c>
      <c r="Q84" s="67">
        <v>45594</v>
      </c>
      <c r="R84" s="67">
        <v>45595</v>
      </c>
      <c r="S84" s="71">
        <f>IF(OR(ISBLANK(table1[[#This Row],[ميعاد الطلب]]),ISBLANK(table1[[#This Row],[ميعاد التسليم]])),0,table1[[#This Row],[ميعاد التسليم]]-table1[[#This Row],[ميعاد الطلب]])</f>
        <v>21</v>
      </c>
      <c r="T84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22</v>
      </c>
      <c r="U84" s="83">
        <v>-1</v>
      </c>
      <c r="V84" s="83" t="str" cm="1">
        <f t="array" ref="V84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84" t="s">
        <v>197</v>
      </c>
      <c r="X84" t="s">
        <v>196</v>
      </c>
      <c r="Y84" s="1" t="str">
        <f>TRIM(table1[[#This Row],[الحالة]])</f>
        <v>تم التسليم</v>
      </c>
    </row>
    <row r="85" spans="1:25" ht="20.100000000000001" customHeight="1" x14ac:dyDescent="0.3">
      <c r="A85" t="s">
        <v>51</v>
      </c>
      <c r="B85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85" t="s">
        <v>360</v>
      </c>
      <c r="D85" t="s">
        <v>339</v>
      </c>
      <c r="E85" t="s">
        <v>51</v>
      </c>
      <c r="F85" t="s">
        <v>159</v>
      </c>
      <c r="G85" t="s">
        <v>204</v>
      </c>
      <c r="H85"/>
      <c r="I85"/>
      <c r="J85" t="s">
        <v>334</v>
      </c>
      <c r="K85" t="s">
        <v>334</v>
      </c>
      <c r="L85" t="s">
        <v>257</v>
      </c>
      <c r="M85"/>
      <c r="N85">
        <v>14550</v>
      </c>
      <c r="O85" t="s">
        <v>15</v>
      </c>
      <c r="P85" s="68">
        <v>45572</v>
      </c>
      <c r="Q85" s="67">
        <v>45594</v>
      </c>
      <c r="R85" s="67">
        <v>45580</v>
      </c>
      <c r="S85" s="71">
        <f>IF(OR(ISBLANK(table1[[#This Row],[ميعاد الطلب]]),ISBLANK(table1[[#This Row],[ميعاد التسليم]])),0,table1[[#This Row],[ميعاد التسليم]]-table1[[#This Row],[ميعاد الطلب]])</f>
        <v>22</v>
      </c>
      <c r="T85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8</v>
      </c>
      <c r="U85" s="83">
        <v>14</v>
      </c>
      <c r="V85" s="83" t="str" cm="1">
        <f t="array" ref="V85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85" t="s">
        <v>197</v>
      </c>
      <c r="X85" t="s">
        <v>196</v>
      </c>
      <c r="Y85" s="1" t="str">
        <f>TRIM(table1[[#This Row],[الحالة]])</f>
        <v>تم التسليم</v>
      </c>
    </row>
    <row r="86" spans="1:25" ht="20.100000000000001" customHeight="1" x14ac:dyDescent="0.3">
      <c r="A86" t="s">
        <v>51</v>
      </c>
      <c r="B86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86"/>
      <c r="D86" t="e">
        <v>#N/A</v>
      </c>
      <c r="E86" t="s">
        <v>51</v>
      </c>
      <c r="F86" t="s">
        <v>159</v>
      </c>
      <c r="G86" t="s">
        <v>204</v>
      </c>
      <c r="H86"/>
      <c r="I86"/>
      <c r="J86" t="s">
        <v>334</v>
      </c>
      <c r="K86" t="s">
        <v>334</v>
      </c>
      <c r="L86" t="s">
        <v>421</v>
      </c>
      <c r="M86"/>
      <c r="N86">
        <v>14550</v>
      </c>
      <c r="O86">
        <v>11495</v>
      </c>
      <c r="P86" s="68">
        <v>45575</v>
      </c>
      <c r="Q86" s="67">
        <v>45596</v>
      </c>
      <c r="R86" s="67">
        <v>45598</v>
      </c>
      <c r="S86" s="71">
        <f>IF(OR(ISBLANK(table1[[#This Row],[ميعاد الطلب]]),ISBLANK(table1[[#This Row],[ميعاد التسليم]])),0,table1[[#This Row],[ميعاد التسليم]]-table1[[#This Row],[ميعاد الطلب]])</f>
        <v>21</v>
      </c>
      <c r="T86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23</v>
      </c>
      <c r="U86" s="83">
        <v>-2</v>
      </c>
      <c r="V86" s="83" t="str" cm="1">
        <f t="array" ref="V86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86" t="s">
        <v>197</v>
      </c>
      <c r="X86" t="s">
        <v>196</v>
      </c>
      <c r="Y86" s="1" t="str">
        <f>TRIM(table1[[#This Row],[الحالة]])</f>
        <v>تم التسليم</v>
      </c>
    </row>
    <row r="87" spans="1:25" ht="20.100000000000001" customHeight="1" x14ac:dyDescent="0.3">
      <c r="A87" t="s">
        <v>229</v>
      </c>
      <c r="B87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87" t="s">
        <v>66</v>
      </c>
      <c r="D87" t="s">
        <v>344</v>
      </c>
      <c r="E87" t="s">
        <v>7</v>
      </c>
      <c r="F87" t="s">
        <v>148</v>
      </c>
      <c r="G87" t="s">
        <v>163</v>
      </c>
      <c r="H87" t="s">
        <v>230</v>
      </c>
      <c r="I87" t="s">
        <v>231</v>
      </c>
      <c r="J87" t="s">
        <v>232</v>
      </c>
      <c r="K87" t="s">
        <v>232</v>
      </c>
      <c r="L87" t="s">
        <v>420</v>
      </c>
      <c r="M87"/>
      <c r="N87">
        <v>12899</v>
      </c>
      <c r="O87">
        <v>13028</v>
      </c>
      <c r="P87" s="68">
        <v>45578</v>
      </c>
      <c r="Q87" s="67">
        <v>45643</v>
      </c>
      <c r="R87" s="67">
        <v>45598</v>
      </c>
      <c r="S87" s="71">
        <f>IF(OR(ISBLANK(table1[[#This Row],[ميعاد الطلب]]),ISBLANK(table1[[#This Row],[ميعاد التسليم]])),0,table1[[#This Row],[ميعاد التسليم]]-table1[[#This Row],[ميعاد الطلب]])</f>
        <v>65</v>
      </c>
      <c r="T87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20</v>
      </c>
      <c r="U87" s="83">
        <v>45</v>
      </c>
      <c r="V87" s="83" t="str" cm="1">
        <f t="array" ref="V87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87" t="s">
        <v>197</v>
      </c>
      <c r="X87" t="s">
        <v>196</v>
      </c>
      <c r="Y87" s="1" t="str">
        <f>TRIM(table1[[#This Row],[الحالة]])</f>
        <v>تم التسليم</v>
      </c>
    </row>
    <row r="88" spans="1:25" ht="20.100000000000001" customHeight="1" x14ac:dyDescent="0.3">
      <c r="A88" t="s">
        <v>233</v>
      </c>
      <c r="B88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88" t="s">
        <v>48</v>
      </c>
      <c r="D88" t="s">
        <v>344</v>
      </c>
      <c r="E88" t="s">
        <v>7</v>
      </c>
      <c r="F88" t="s">
        <v>148</v>
      </c>
      <c r="G88" t="s">
        <v>163</v>
      </c>
      <c r="H88" t="s">
        <v>153</v>
      </c>
      <c r="I88">
        <v>80</v>
      </c>
      <c r="J88" t="s">
        <v>333</v>
      </c>
      <c r="K88" t="s">
        <v>333</v>
      </c>
      <c r="L88" t="s">
        <v>420</v>
      </c>
      <c r="M88"/>
      <c r="N88">
        <v>10499</v>
      </c>
      <c r="O88" t="s">
        <v>15</v>
      </c>
      <c r="P88" s="68">
        <v>45581</v>
      </c>
      <c r="Q88" s="67">
        <v>45645</v>
      </c>
      <c r="R88" s="67">
        <v>45586</v>
      </c>
      <c r="S88" s="71">
        <f>IF(OR(ISBLANK(table1[[#This Row],[ميعاد الطلب]]),ISBLANK(table1[[#This Row],[ميعاد التسليم]])),0,table1[[#This Row],[ميعاد التسليم]]-table1[[#This Row],[ميعاد الطلب]])</f>
        <v>64</v>
      </c>
      <c r="T88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5</v>
      </c>
      <c r="U88" s="83">
        <v>59</v>
      </c>
      <c r="V88" s="83" t="str" cm="1">
        <f t="array" ref="V88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88" t="s">
        <v>197</v>
      </c>
      <c r="X88" t="s">
        <v>196</v>
      </c>
      <c r="Y88" s="1" t="str">
        <f>TRIM(table1[[#This Row],[الحالة]])</f>
        <v>تم التسليم</v>
      </c>
    </row>
    <row r="89" spans="1:25" ht="20.100000000000001" customHeight="1" x14ac:dyDescent="0.3">
      <c r="A89" t="s">
        <v>235</v>
      </c>
      <c r="B89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89" t="s">
        <v>236</v>
      </c>
      <c r="D89" t="s">
        <v>340</v>
      </c>
      <c r="E89" t="s">
        <v>7</v>
      </c>
      <c r="F89" t="s">
        <v>148</v>
      </c>
      <c r="G89" t="s">
        <v>163</v>
      </c>
      <c r="H89" t="s">
        <v>150</v>
      </c>
      <c r="I89" t="s">
        <v>237</v>
      </c>
      <c r="J89" t="s">
        <v>232</v>
      </c>
      <c r="K89" t="s">
        <v>232</v>
      </c>
      <c r="L89" t="s">
        <v>420</v>
      </c>
      <c r="M89"/>
      <c r="N89">
        <v>12899</v>
      </c>
      <c r="O89" t="s">
        <v>15</v>
      </c>
      <c r="P89" s="68">
        <v>45582</v>
      </c>
      <c r="Q89" s="67">
        <v>45648</v>
      </c>
      <c r="R89" s="67">
        <v>45629</v>
      </c>
      <c r="S89" s="71">
        <f>IF(OR(ISBLANK(table1[[#This Row],[ميعاد الطلب]]),ISBLANK(table1[[#This Row],[ميعاد التسليم]])),0,table1[[#This Row],[ميعاد التسليم]]-table1[[#This Row],[ميعاد الطلب]])</f>
        <v>66</v>
      </c>
      <c r="T89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47</v>
      </c>
      <c r="U89" s="83">
        <v>19</v>
      </c>
      <c r="V89" s="83" t="str" cm="1">
        <f t="array" ref="V89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89" t="s">
        <v>27</v>
      </c>
      <c r="X89" t="s">
        <v>226</v>
      </c>
      <c r="Y89" s="1" t="str">
        <f>TRIM(table1[[#This Row],[الحالة]])</f>
        <v>تم التسليم</v>
      </c>
    </row>
    <row r="90" spans="1:25" ht="20.100000000000001" customHeight="1" x14ac:dyDescent="0.3">
      <c r="A90" t="s">
        <v>238</v>
      </c>
      <c r="B90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90" t="s">
        <v>240</v>
      </c>
      <c r="D90" t="s">
        <v>344</v>
      </c>
      <c r="E90" t="s">
        <v>261</v>
      </c>
      <c r="F90" t="s">
        <v>148</v>
      </c>
      <c r="G90" t="s">
        <v>151</v>
      </c>
      <c r="H90" t="s">
        <v>242</v>
      </c>
      <c r="I90">
        <v>140</v>
      </c>
      <c r="J90" t="s">
        <v>421</v>
      </c>
      <c r="K90" t="s">
        <v>421</v>
      </c>
      <c r="L90" t="s">
        <v>243</v>
      </c>
      <c r="M90"/>
      <c r="N90">
        <v>5135</v>
      </c>
      <c r="O90" t="s">
        <v>15</v>
      </c>
      <c r="P90" s="68">
        <v>45585</v>
      </c>
      <c r="Q90" s="67">
        <v>45613</v>
      </c>
      <c r="R90" s="67">
        <v>45610</v>
      </c>
      <c r="S90" s="71">
        <f>IF(OR(ISBLANK(table1[[#This Row],[ميعاد الطلب]]),ISBLANK(table1[[#This Row],[ميعاد التسليم]])),0,table1[[#This Row],[ميعاد التسليم]]-table1[[#This Row],[ميعاد الطلب]])</f>
        <v>28</v>
      </c>
      <c r="T90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25</v>
      </c>
      <c r="U90" s="83">
        <v>3</v>
      </c>
      <c r="V90" s="83" t="str" cm="1">
        <f t="array" ref="V90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90" t="s">
        <v>197</v>
      </c>
      <c r="X90" t="s">
        <v>196</v>
      </c>
      <c r="Y90" s="1" t="str">
        <f>TRIM(table1[[#This Row],[الحالة]])</f>
        <v>تم التسليم</v>
      </c>
    </row>
    <row r="91" spans="1:25" ht="20.100000000000001" customHeight="1" x14ac:dyDescent="0.3">
      <c r="A91" t="s">
        <v>51</v>
      </c>
      <c r="B91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91" t="s">
        <v>202</v>
      </c>
      <c r="D91" t="s">
        <v>339</v>
      </c>
      <c r="E91" t="s">
        <v>51</v>
      </c>
      <c r="F91" t="s">
        <v>148</v>
      </c>
      <c r="G91" t="s">
        <v>163</v>
      </c>
      <c r="H91" t="s">
        <v>244</v>
      </c>
      <c r="I91">
        <v>100</v>
      </c>
      <c r="J91" t="s">
        <v>245</v>
      </c>
      <c r="K91" t="s">
        <v>245</v>
      </c>
      <c r="L91" t="s">
        <v>420</v>
      </c>
      <c r="M91"/>
      <c r="N91">
        <v>12777.5</v>
      </c>
      <c r="O91">
        <v>11277.5</v>
      </c>
      <c r="P91" s="68">
        <v>45587</v>
      </c>
      <c r="Q91" s="67">
        <v>45608</v>
      </c>
      <c r="R91" s="67">
        <v>45614</v>
      </c>
      <c r="S91" s="71">
        <f>IF(OR(ISBLANK(table1[[#This Row],[ميعاد الطلب]]),ISBLANK(table1[[#This Row],[ميعاد التسليم]])),0,table1[[#This Row],[ميعاد التسليم]]-table1[[#This Row],[ميعاد الطلب]])</f>
        <v>21</v>
      </c>
      <c r="T91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27</v>
      </c>
      <c r="U91" s="83">
        <v>-6</v>
      </c>
      <c r="V91" s="83" t="str" cm="1">
        <f t="array" ref="V91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91" t="s">
        <v>197</v>
      </c>
      <c r="X91" t="s">
        <v>196</v>
      </c>
      <c r="Y91" s="1" t="str">
        <f>TRIM(table1[[#This Row],[الحالة]])</f>
        <v>تم التسليم</v>
      </c>
    </row>
    <row r="92" spans="1:25" ht="20.100000000000001" customHeight="1" x14ac:dyDescent="0.3">
      <c r="A92" t="s">
        <v>51</v>
      </c>
      <c r="B92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92" t="s">
        <v>202</v>
      </c>
      <c r="D92" t="s">
        <v>339</v>
      </c>
      <c r="E92" t="s">
        <v>51</v>
      </c>
      <c r="F92" t="s">
        <v>148</v>
      </c>
      <c r="G92" t="s">
        <v>163</v>
      </c>
      <c r="H92" t="s">
        <v>244</v>
      </c>
      <c r="I92">
        <v>100</v>
      </c>
      <c r="J92" t="s">
        <v>245</v>
      </c>
      <c r="K92" t="s">
        <v>245</v>
      </c>
      <c r="L92" t="s">
        <v>420</v>
      </c>
      <c r="M92"/>
      <c r="N92">
        <v>12777.5</v>
      </c>
      <c r="O92">
        <v>11277.5</v>
      </c>
      <c r="P92" s="68">
        <v>45587</v>
      </c>
      <c r="Q92" s="67">
        <v>45608</v>
      </c>
      <c r="R92" s="67">
        <v>45614</v>
      </c>
      <c r="S92" s="71">
        <f>IF(OR(ISBLANK(table1[[#This Row],[ميعاد الطلب]]),ISBLANK(table1[[#This Row],[ميعاد التسليم]])),0,table1[[#This Row],[ميعاد التسليم]]-table1[[#This Row],[ميعاد الطلب]])</f>
        <v>21</v>
      </c>
      <c r="T92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27</v>
      </c>
      <c r="U92" s="83">
        <v>-6</v>
      </c>
      <c r="V92" s="83" t="str" cm="1">
        <f t="array" ref="V92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92" t="s">
        <v>197</v>
      </c>
      <c r="X92" t="s">
        <v>196</v>
      </c>
      <c r="Y92" s="1" t="str">
        <f>TRIM(table1[[#This Row],[الحالة]])</f>
        <v>تم التسليم</v>
      </c>
    </row>
    <row r="93" spans="1:25" ht="20.100000000000001" customHeight="1" x14ac:dyDescent="0.3">
      <c r="A93" t="s">
        <v>81</v>
      </c>
      <c r="B93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93" t="s">
        <v>246</v>
      </c>
      <c r="D93" t="s">
        <v>344</v>
      </c>
      <c r="E93" t="s">
        <v>415</v>
      </c>
      <c r="F93" t="s">
        <v>148</v>
      </c>
      <c r="G93" t="s">
        <v>163</v>
      </c>
      <c r="H93" t="s">
        <v>244</v>
      </c>
      <c r="I93">
        <v>100</v>
      </c>
      <c r="J93" t="s">
        <v>245</v>
      </c>
      <c r="K93" t="s">
        <v>245</v>
      </c>
      <c r="L93" t="s">
        <v>420</v>
      </c>
      <c r="M93"/>
      <c r="N93">
        <v>8544.91</v>
      </c>
      <c r="O93" t="s">
        <v>83</v>
      </c>
      <c r="P93" s="68">
        <v>45587</v>
      </c>
      <c r="Q93" s="67"/>
      <c r="R93" s="67"/>
      <c r="S93" s="71">
        <f>IF(OR(ISBLANK(table1[[#This Row],[ميعاد الطلب]]),ISBLANK(table1[[#This Row],[ميعاد التسليم]])),0,table1[[#This Row],[ميعاد التسليم]]-table1[[#This Row],[ميعاد الطلب]])</f>
        <v>0</v>
      </c>
      <c r="T93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93" s="83" t="s">
        <v>430</v>
      </c>
      <c r="V93" s="83" t="str" cm="1">
        <f t="array" ref="V93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93"/>
      <c r="X93" t="s">
        <v>272</v>
      </c>
      <c r="Y93" s="1" t="str">
        <f>TRIM(table1[[#This Row],[الحالة]])</f>
        <v>مرفوض</v>
      </c>
    </row>
    <row r="94" spans="1:25" ht="20.100000000000001" customHeight="1" x14ac:dyDescent="0.3">
      <c r="A94" t="s">
        <v>248</v>
      </c>
      <c r="B94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94" t="s">
        <v>249</v>
      </c>
      <c r="D94" t="s">
        <v>339</v>
      </c>
      <c r="E94" t="s">
        <v>7</v>
      </c>
      <c r="F94" t="s">
        <v>148</v>
      </c>
      <c r="G94" t="s">
        <v>151</v>
      </c>
      <c r="H94" t="s">
        <v>175</v>
      </c>
      <c r="I94">
        <v>120</v>
      </c>
      <c r="J94" t="s">
        <v>333</v>
      </c>
      <c r="K94" t="s">
        <v>333</v>
      </c>
      <c r="L94" t="s">
        <v>420</v>
      </c>
      <c r="M94"/>
      <c r="N94">
        <v>8943</v>
      </c>
      <c r="O94">
        <v>9007.01</v>
      </c>
      <c r="P94" s="68">
        <v>45586</v>
      </c>
      <c r="Q94" s="67">
        <v>45610</v>
      </c>
      <c r="R94" s="67">
        <v>45614</v>
      </c>
      <c r="S94" s="71">
        <f>IF(OR(ISBLANK(table1[[#This Row],[ميعاد الطلب]]),ISBLANK(table1[[#This Row],[ميعاد التسليم]])),0,table1[[#This Row],[ميعاد التسليم]]-table1[[#This Row],[ميعاد الطلب]])</f>
        <v>24</v>
      </c>
      <c r="T94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28</v>
      </c>
      <c r="U94" s="83">
        <v>-4</v>
      </c>
      <c r="V94" s="83" t="str" cm="1">
        <f t="array" ref="V94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94" t="s">
        <v>197</v>
      </c>
      <c r="X94" t="s">
        <v>196</v>
      </c>
      <c r="Y94" s="1" t="str">
        <f>TRIM(table1[[#This Row],[الحالة]])</f>
        <v>تم التسليم</v>
      </c>
    </row>
    <row r="95" spans="1:25" ht="20.100000000000001" customHeight="1" x14ac:dyDescent="0.3">
      <c r="A95" t="s">
        <v>51</v>
      </c>
      <c r="B95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95"/>
      <c r="D95" t="e">
        <v>#N/A</v>
      </c>
      <c r="E95" t="s">
        <v>51</v>
      </c>
      <c r="F95" t="s">
        <v>159</v>
      </c>
      <c r="G95" t="s">
        <v>204</v>
      </c>
      <c r="H95"/>
      <c r="I95"/>
      <c r="J95" t="s">
        <v>334</v>
      </c>
      <c r="K95" t="s">
        <v>334</v>
      </c>
      <c r="L95" t="s">
        <v>420</v>
      </c>
      <c r="M95"/>
      <c r="N95">
        <v>15516</v>
      </c>
      <c r="O95" t="s">
        <v>15</v>
      </c>
      <c r="P95" s="68">
        <v>45589</v>
      </c>
      <c r="Q95" s="67">
        <v>45610</v>
      </c>
      <c r="R95" s="67">
        <v>45595</v>
      </c>
      <c r="S95" s="71">
        <f>IF(OR(ISBLANK(table1[[#This Row],[ميعاد الطلب]]),ISBLANK(table1[[#This Row],[ميعاد التسليم]])),0,table1[[#This Row],[ميعاد التسليم]]-table1[[#This Row],[ميعاد الطلب]])</f>
        <v>21</v>
      </c>
      <c r="T95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6</v>
      </c>
      <c r="U95" s="83">
        <v>15</v>
      </c>
      <c r="V95" s="83" t="str" cm="1">
        <f t="array" ref="V95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95" t="s">
        <v>197</v>
      </c>
      <c r="X95" t="s">
        <v>196</v>
      </c>
      <c r="Y95" s="1" t="str">
        <f>TRIM(table1[[#This Row],[الحالة]])</f>
        <v>تم التسليم</v>
      </c>
    </row>
    <row r="96" spans="1:25" ht="20.100000000000001" customHeight="1" x14ac:dyDescent="0.3">
      <c r="A96" t="s">
        <v>51</v>
      </c>
      <c r="B96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96"/>
      <c r="D96" t="e">
        <v>#N/A</v>
      </c>
      <c r="E96" t="s">
        <v>51</v>
      </c>
      <c r="F96" t="s">
        <v>148</v>
      </c>
      <c r="G96" t="s">
        <v>163</v>
      </c>
      <c r="H96" t="s">
        <v>152</v>
      </c>
      <c r="I96">
        <v>100</v>
      </c>
      <c r="J96" t="s">
        <v>334</v>
      </c>
      <c r="K96" t="s">
        <v>334</v>
      </c>
      <c r="L96" t="s">
        <v>420</v>
      </c>
      <c r="M96"/>
      <c r="N96">
        <v>10045</v>
      </c>
      <c r="O96">
        <v>8879</v>
      </c>
      <c r="P96" s="68">
        <v>45591</v>
      </c>
      <c r="Q96" s="67">
        <v>45612</v>
      </c>
      <c r="R96" s="67"/>
      <c r="S96" s="71">
        <f>IF(OR(ISBLANK(table1[[#This Row],[ميعاد الطلب]]),ISBLANK(table1[[#This Row],[ميعاد التسليم]])),0,table1[[#This Row],[ميعاد التسليم]]-table1[[#This Row],[ميعاد الطلب]])</f>
        <v>21</v>
      </c>
      <c r="T96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96" s="83" t="s">
        <v>430</v>
      </c>
      <c r="V96" s="83" t="str" cm="1">
        <f t="array" ref="V96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96"/>
      <c r="X96" t="s">
        <v>234</v>
      </c>
      <c r="Y96" s="1" t="str">
        <f>TRIM(table1[[#This Row],[الحالة]])</f>
        <v>لاغى</v>
      </c>
    </row>
    <row r="97" spans="1:25" ht="20.100000000000001" customHeight="1" x14ac:dyDescent="0.3">
      <c r="A97" t="s">
        <v>129</v>
      </c>
      <c r="B97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97" t="s">
        <v>250</v>
      </c>
      <c r="D97" t="s">
        <v>339</v>
      </c>
      <c r="E97" t="s">
        <v>7</v>
      </c>
      <c r="F97" t="s">
        <v>148</v>
      </c>
      <c r="G97" t="s">
        <v>163</v>
      </c>
      <c r="H97" t="s">
        <v>152</v>
      </c>
      <c r="I97">
        <v>90</v>
      </c>
      <c r="J97" t="s">
        <v>334</v>
      </c>
      <c r="K97" t="s">
        <v>334</v>
      </c>
      <c r="L97" t="s">
        <v>420</v>
      </c>
      <c r="M97"/>
      <c r="N97">
        <v>11649</v>
      </c>
      <c r="O97">
        <v>11749</v>
      </c>
      <c r="P97" s="68">
        <v>45591</v>
      </c>
      <c r="Q97" s="67">
        <v>45606</v>
      </c>
      <c r="R97" s="67">
        <v>45614</v>
      </c>
      <c r="S97" s="71">
        <f>IF(OR(ISBLANK(table1[[#This Row],[ميعاد الطلب]]),ISBLANK(table1[[#This Row],[ميعاد التسليم]])),0,table1[[#This Row],[ميعاد التسليم]]-table1[[#This Row],[ميعاد الطلب]])</f>
        <v>15</v>
      </c>
      <c r="T97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23</v>
      </c>
      <c r="U97" s="83">
        <v>-8</v>
      </c>
      <c r="V97" s="83" t="str" cm="1">
        <f t="array" ref="V97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97" t="s">
        <v>197</v>
      </c>
      <c r="X97" t="s">
        <v>196</v>
      </c>
      <c r="Y97" s="1" t="str">
        <f>TRIM(table1[[#This Row],[الحالة]])</f>
        <v>تم التسليم</v>
      </c>
    </row>
    <row r="98" spans="1:25" ht="20.100000000000001" customHeight="1" x14ac:dyDescent="0.3">
      <c r="A98" t="s">
        <v>129</v>
      </c>
      <c r="B98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98" t="s">
        <v>250</v>
      </c>
      <c r="D98" t="s">
        <v>339</v>
      </c>
      <c r="E98" t="s">
        <v>7</v>
      </c>
      <c r="F98" t="s">
        <v>148</v>
      </c>
      <c r="G98" t="s">
        <v>163</v>
      </c>
      <c r="H98" t="s">
        <v>152</v>
      </c>
      <c r="I98">
        <v>90</v>
      </c>
      <c r="J98" t="s">
        <v>334</v>
      </c>
      <c r="K98" t="s">
        <v>334</v>
      </c>
      <c r="L98" t="s">
        <v>420</v>
      </c>
      <c r="M98"/>
      <c r="N98">
        <v>11649</v>
      </c>
      <c r="O98">
        <v>11749</v>
      </c>
      <c r="P98" s="68">
        <v>45591</v>
      </c>
      <c r="Q98" s="67">
        <v>45606</v>
      </c>
      <c r="R98" s="67">
        <v>45614</v>
      </c>
      <c r="S98" s="71">
        <f>IF(OR(ISBLANK(table1[[#This Row],[ميعاد الطلب]]),ISBLANK(table1[[#This Row],[ميعاد التسليم]])),0,table1[[#This Row],[ميعاد التسليم]]-table1[[#This Row],[ميعاد الطلب]])</f>
        <v>15</v>
      </c>
      <c r="T98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23</v>
      </c>
      <c r="U98" s="83">
        <v>-8</v>
      </c>
      <c r="V98" s="83" t="str" cm="1">
        <f t="array" ref="V98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98" t="s">
        <v>197</v>
      </c>
      <c r="X98" t="s">
        <v>196</v>
      </c>
      <c r="Y98" s="1" t="str">
        <f>TRIM(table1[[#This Row],[الحالة]])</f>
        <v>تم التسليم</v>
      </c>
    </row>
    <row r="99" spans="1:25" ht="20.100000000000001" customHeight="1" x14ac:dyDescent="0.3">
      <c r="A99" t="s">
        <v>251</v>
      </c>
      <c r="B99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99" t="s">
        <v>105</v>
      </c>
      <c r="D99" t="s">
        <v>344</v>
      </c>
      <c r="E99" t="s">
        <v>7</v>
      </c>
      <c r="F99" t="s">
        <v>148</v>
      </c>
      <c r="G99" t="s">
        <v>151</v>
      </c>
      <c r="H99" t="s">
        <v>154</v>
      </c>
      <c r="I99">
        <v>100</v>
      </c>
      <c r="J99" t="s">
        <v>333</v>
      </c>
      <c r="K99" t="s">
        <v>333</v>
      </c>
      <c r="L99" t="s">
        <v>420</v>
      </c>
      <c r="M99"/>
      <c r="N99">
        <v>5100</v>
      </c>
      <c r="O99">
        <v>4800</v>
      </c>
      <c r="P99" s="68">
        <v>45593</v>
      </c>
      <c r="Q99" s="67">
        <v>45607</v>
      </c>
      <c r="R99" s="67">
        <v>45617</v>
      </c>
      <c r="S99" s="71">
        <f>IF(OR(ISBLANK(table1[[#This Row],[ميعاد الطلب]]),ISBLANK(table1[[#This Row],[ميعاد التسليم]])),0,table1[[#This Row],[ميعاد التسليم]]-table1[[#This Row],[ميعاد الطلب]])</f>
        <v>14</v>
      </c>
      <c r="T99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24</v>
      </c>
      <c r="U99" s="83">
        <v>-10</v>
      </c>
      <c r="V99" s="83" t="str" cm="1">
        <f t="array" ref="V99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99" t="s">
        <v>197</v>
      </c>
      <c r="X99" t="s">
        <v>196</v>
      </c>
      <c r="Y99" s="1" t="str">
        <f>TRIM(table1[[#This Row],[الحالة]])</f>
        <v>تم التسليم</v>
      </c>
    </row>
    <row r="100" spans="1:25" ht="20.100000000000001" customHeight="1" x14ac:dyDescent="0.3">
      <c r="A100" t="s">
        <v>251</v>
      </c>
      <c r="B100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00" t="s">
        <v>105</v>
      </c>
      <c r="D100" t="s">
        <v>344</v>
      </c>
      <c r="E100" t="s">
        <v>7</v>
      </c>
      <c r="F100" t="s">
        <v>148</v>
      </c>
      <c r="G100" t="s">
        <v>151</v>
      </c>
      <c r="H100" t="s">
        <v>154</v>
      </c>
      <c r="I100">
        <v>120</v>
      </c>
      <c r="J100" t="s">
        <v>333</v>
      </c>
      <c r="K100" t="s">
        <v>333</v>
      </c>
      <c r="L100" t="s">
        <v>420</v>
      </c>
      <c r="M100"/>
      <c r="N100">
        <v>5300</v>
      </c>
      <c r="O100">
        <v>4800</v>
      </c>
      <c r="P100" s="68">
        <v>45593</v>
      </c>
      <c r="Q100" s="67">
        <v>45607</v>
      </c>
      <c r="R100" s="67">
        <v>45617</v>
      </c>
      <c r="S100" s="71">
        <f>IF(OR(ISBLANK(table1[[#This Row],[ميعاد الطلب]]),ISBLANK(table1[[#This Row],[ميعاد التسليم]])),0,table1[[#This Row],[ميعاد التسليم]]-table1[[#This Row],[ميعاد الطلب]])</f>
        <v>14</v>
      </c>
      <c r="T100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24</v>
      </c>
      <c r="U100" s="83">
        <v>-10</v>
      </c>
      <c r="V100" s="83" t="str" cm="1">
        <f t="array" ref="V100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100" t="s">
        <v>197</v>
      </c>
      <c r="X100" t="s">
        <v>196</v>
      </c>
      <c r="Y100" s="1" t="str">
        <f>TRIM(table1[[#This Row],[الحالة]])</f>
        <v>تم التسليم</v>
      </c>
    </row>
    <row r="101" spans="1:25" ht="20.100000000000001" customHeight="1" x14ac:dyDescent="0.3">
      <c r="A101" t="s">
        <v>408</v>
      </c>
      <c r="B101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01" t="s">
        <v>262</v>
      </c>
      <c r="D101" t="s">
        <v>344</v>
      </c>
      <c r="E101" t="s">
        <v>7</v>
      </c>
      <c r="F101" t="s">
        <v>148</v>
      </c>
      <c r="G101" t="s">
        <v>163</v>
      </c>
      <c r="H101" t="s">
        <v>153</v>
      </c>
      <c r="I101">
        <v>80</v>
      </c>
      <c r="J101" t="s">
        <v>333</v>
      </c>
      <c r="K101" t="s">
        <v>333</v>
      </c>
      <c r="L101" t="s">
        <v>420</v>
      </c>
      <c r="M101"/>
      <c r="N101">
        <v>12099</v>
      </c>
      <c r="O101" t="s">
        <v>15</v>
      </c>
      <c r="P101" s="68">
        <v>45607</v>
      </c>
      <c r="Q101" s="67">
        <v>45622</v>
      </c>
      <c r="R101" s="67">
        <v>45623</v>
      </c>
      <c r="S101" s="71">
        <f>IF(OR(ISBLANK(table1[[#This Row],[ميعاد الطلب]]),ISBLANK(table1[[#This Row],[ميعاد التسليم]])),0,table1[[#This Row],[ميعاد التسليم]]-table1[[#This Row],[ميعاد الطلب]])</f>
        <v>15</v>
      </c>
      <c r="T101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16</v>
      </c>
      <c r="U101" s="83">
        <v>-1</v>
      </c>
      <c r="V101" s="83" t="str" cm="1">
        <f t="array" ref="V101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101" t="s">
        <v>197</v>
      </c>
      <c r="X101" t="s">
        <v>196</v>
      </c>
      <c r="Y101" s="1" t="str">
        <f>TRIM(table1[[#This Row],[الحالة]])</f>
        <v>تم التسليم</v>
      </c>
    </row>
    <row r="102" spans="1:25" ht="20.100000000000001" customHeight="1" x14ac:dyDescent="0.3">
      <c r="A102" t="s">
        <v>51</v>
      </c>
      <c r="B102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102" t="s">
        <v>222</v>
      </c>
      <c r="D102" t="s">
        <v>359</v>
      </c>
      <c r="E102" t="s">
        <v>51</v>
      </c>
      <c r="F102" t="s">
        <v>159</v>
      </c>
      <c r="G102" t="s">
        <v>204</v>
      </c>
      <c r="H102" t="s">
        <v>256</v>
      </c>
      <c r="I102"/>
      <c r="J102" t="s">
        <v>334</v>
      </c>
      <c r="K102" t="s">
        <v>334</v>
      </c>
      <c r="L102" t="s">
        <v>257</v>
      </c>
      <c r="M102"/>
      <c r="N102">
        <v>15872</v>
      </c>
      <c r="O102" t="s">
        <v>15</v>
      </c>
      <c r="P102" s="68">
        <v>45604</v>
      </c>
      <c r="Q102" s="67">
        <v>45629</v>
      </c>
      <c r="R102" s="67">
        <v>45610</v>
      </c>
      <c r="S102" s="71">
        <f>IF(OR(ISBLANK(table1[[#This Row],[ميعاد الطلب]]),ISBLANK(table1[[#This Row],[ميعاد التسليم]])),0,table1[[#This Row],[ميعاد التسليم]]-table1[[#This Row],[ميعاد الطلب]])</f>
        <v>25</v>
      </c>
      <c r="T102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6</v>
      </c>
      <c r="U102" s="83">
        <v>19</v>
      </c>
      <c r="V102" s="83" t="str" cm="1">
        <f t="array" ref="V102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02" t="s">
        <v>197</v>
      </c>
      <c r="X102" t="s">
        <v>196</v>
      </c>
      <c r="Y102" s="1" t="str">
        <f>TRIM(table1[[#This Row],[الحالة]])</f>
        <v>تم التسليم</v>
      </c>
    </row>
    <row r="103" spans="1:25" ht="20.100000000000001" customHeight="1" x14ac:dyDescent="0.3">
      <c r="A103" t="s">
        <v>261</v>
      </c>
      <c r="B103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03" t="s">
        <v>33</v>
      </c>
      <c r="D103" t="s">
        <v>344</v>
      </c>
      <c r="E103" t="s">
        <v>261</v>
      </c>
      <c r="F103" t="s">
        <v>148</v>
      </c>
      <c r="G103" t="s">
        <v>151</v>
      </c>
      <c r="H103" t="s">
        <v>175</v>
      </c>
      <c r="I103">
        <v>120</v>
      </c>
      <c r="J103" t="s">
        <v>333</v>
      </c>
      <c r="K103" t="s">
        <v>333</v>
      </c>
      <c r="L103" t="s">
        <v>420</v>
      </c>
      <c r="M103"/>
      <c r="N103">
        <v>4520</v>
      </c>
      <c r="O103" t="s">
        <v>83</v>
      </c>
      <c r="P103" s="68">
        <v>45606</v>
      </c>
      <c r="Q103" s="67">
        <v>45618</v>
      </c>
      <c r="R103" s="67">
        <v>45617</v>
      </c>
      <c r="S103" s="71">
        <f>IF(OR(ISBLANK(table1[[#This Row],[ميعاد الطلب]]),ISBLANK(table1[[#This Row],[ميعاد التسليم]])),0,table1[[#This Row],[ميعاد التسليم]]-table1[[#This Row],[ميعاد الطلب]])</f>
        <v>12</v>
      </c>
      <c r="T103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11</v>
      </c>
      <c r="U103" s="83">
        <v>1</v>
      </c>
      <c r="V103" s="83" t="str" cm="1">
        <f t="array" ref="V103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03" t="s">
        <v>197</v>
      </c>
      <c r="X103" t="s">
        <v>196</v>
      </c>
      <c r="Y103" s="1" t="str">
        <f>TRIM(table1[[#This Row],[الحالة]])</f>
        <v>تم التسليم</v>
      </c>
    </row>
    <row r="104" spans="1:25" ht="20.100000000000001" customHeight="1" x14ac:dyDescent="0.3">
      <c r="A104" t="s">
        <v>81</v>
      </c>
      <c r="B104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104" t="s">
        <v>358</v>
      </c>
      <c r="D104" t="s">
        <v>348</v>
      </c>
      <c r="E104" t="s">
        <v>415</v>
      </c>
      <c r="F104" t="s">
        <v>148</v>
      </c>
      <c r="G104" t="s">
        <v>163</v>
      </c>
      <c r="H104" t="s">
        <v>152</v>
      </c>
      <c r="I104">
        <v>90</v>
      </c>
      <c r="J104" t="s">
        <v>334</v>
      </c>
      <c r="K104" t="s">
        <v>334</v>
      </c>
      <c r="L104" t="s">
        <v>420</v>
      </c>
      <c r="M104"/>
      <c r="N104">
        <v>5766</v>
      </c>
      <c r="O104" t="s">
        <v>83</v>
      </c>
      <c r="P104" s="68">
        <v>45608</v>
      </c>
      <c r="Q104" s="67">
        <v>45622</v>
      </c>
      <c r="R104" s="67">
        <v>45621</v>
      </c>
      <c r="S104" s="71">
        <f>IF(OR(ISBLANK(table1[[#This Row],[ميعاد الطلب]]),ISBLANK(table1[[#This Row],[ميعاد التسليم]])),0,table1[[#This Row],[ميعاد التسليم]]-table1[[#This Row],[ميعاد الطلب]])</f>
        <v>14</v>
      </c>
      <c r="T104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13</v>
      </c>
      <c r="U104" s="83">
        <v>1</v>
      </c>
      <c r="V104" s="83" t="str" cm="1">
        <f t="array" ref="V104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04" t="s">
        <v>197</v>
      </c>
      <c r="X104" t="s">
        <v>196</v>
      </c>
      <c r="Y104" s="1" t="str">
        <f>TRIM(table1[[#This Row],[الحالة]])</f>
        <v>تم التسليم</v>
      </c>
    </row>
    <row r="105" spans="1:25" ht="20.100000000000001" customHeight="1" x14ac:dyDescent="0.3">
      <c r="A105" t="s">
        <v>264</v>
      </c>
      <c r="B105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05" t="s">
        <v>105</v>
      </c>
      <c r="D105" t="s">
        <v>344</v>
      </c>
      <c r="E105" t="s">
        <v>7</v>
      </c>
      <c r="F105" t="s">
        <v>148</v>
      </c>
      <c r="G105" t="s">
        <v>151</v>
      </c>
      <c r="H105" t="s">
        <v>175</v>
      </c>
      <c r="I105">
        <v>160</v>
      </c>
      <c r="J105" t="s">
        <v>171</v>
      </c>
      <c r="K105" t="s">
        <v>171</v>
      </c>
      <c r="L105" t="s">
        <v>420</v>
      </c>
      <c r="M105"/>
      <c r="N105">
        <v>11395</v>
      </c>
      <c r="O105" t="s">
        <v>15</v>
      </c>
      <c r="P105" s="68">
        <v>45608</v>
      </c>
      <c r="Q105" s="67">
        <v>45620</v>
      </c>
      <c r="R105" s="67">
        <v>45623</v>
      </c>
      <c r="S105" s="71">
        <f>IF(OR(ISBLANK(table1[[#This Row],[ميعاد الطلب]]),ISBLANK(table1[[#This Row],[ميعاد التسليم]])),0,table1[[#This Row],[ميعاد التسليم]]-table1[[#This Row],[ميعاد الطلب]])</f>
        <v>12</v>
      </c>
      <c r="T105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15</v>
      </c>
      <c r="U105" s="83">
        <v>-3</v>
      </c>
      <c r="V105" s="83" t="str" cm="1">
        <f t="array" ref="V105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105" t="s">
        <v>197</v>
      </c>
      <c r="X105" t="s">
        <v>196</v>
      </c>
      <c r="Y105" s="1" t="str">
        <f>TRIM(table1[[#This Row],[الحالة]])</f>
        <v>تم التسليم</v>
      </c>
    </row>
    <row r="106" spans="1:25" ht="20.100000000000001" customHeight="1" x14ac:dyDescent="0.3">
      <c r="A106" t="s">
        <v>265</v>
      </c>
      <c r="B106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06" t="s">
        <v>33</v>
      </c>
      <c r="D106" t="s">
        <v>344</v>
      </c>
      <c r="E106" t="s">
        <v>7</v>
      </c>
      <c r="F106" t="s">
        <v>148</v>
      </c>
      <c r="G106" t="s">
        <v>163</v>
      </c>
      <c r="H106" t="s">
        <v>266</v>
      </c>
      <c r="I106">
        <v>80</v>
      </c>
      <c r="J106" t="s">
        <v>333</v>
      </c>
      <c r="K106" t="s">
        <v>333</v>
      </c>
      <c r="L106" t="s">
        <v>420</v>
      </c>
      <c r="M106"/>
      <c r="N106">
        <v>12919</v>
      </c>
      <c r="O106" t="s">
        <v>15</v>
      </c>
      <c r="P106" s="68">
        <v>45610</v>
      </c>
      <c r="Q106" s="67">
        <v>45626</v>
      </c>
      <c r="R106" s="67">
        <v>45623</v>
      </c>
      <c r="S106" s="71">
        <f>IF(OR(ISBLANK(table1[[#This Row],[ميعاد الطلب]]),ISBLANK(table1[[#This Row],[ميعاد التسليم]])),0,table1[[#This Row],[ميعاد التسليم]]-table1[[#This Row],[ميعاد الطلب]])</f>
        <v>16</v>
      </c>
      <c r="T106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13</v>
      </c>
      <c r="U106" s="83">
        <v>3</v>
      </c>
      <c r="V106" s="83" t="str" cm="1">
        <f t="array" ref="V106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06" t="s">
        <v>197</v>
      </c>
      <c r="X106" t="s">
        <v>196</v>
      </c>
      <c r="Y106" s="1" t="str">
        <f>TRIM(table1[[#This Row],[الحالة]])</f>
        <v>تم التسليم</v>
      </c>
    </row>
    <row r="107" spans="1:25" ht="20.100000000000001" customHeight="1" x14ac:dyDescent="0.3">
      <c r="A107" t="s">
        <v>81</v>
      </c>
      <c r="B107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107" t="s">
        <v>358</v>
      </c>
      <c r="D107" t="s">
        <v>348</v>
      </c>
      <c r="E107" t="s">
        <v>415</v>
      </c>
      <c r="F107" t="s">
        <v>148</v>
      </c>
      <c r="G107" t="s">
        <v>163</v>
      </c>
      <c r="H107" t="s">
        <v>150</v>
      </c>
      <c r="I107">
        <v>120</v>
      </c>
      <c r="J107" t="s">
        <v>170</v>
      </c>
      <c r="K107" t="s">
        <v>170</v>
      </c>
      <c r="L107" t="s">
        <v>420</v>
      </c>
      <c r="M107"/>
      <c r="N107">
        <v>6376</v>
      </c>
      <c r="O107" t="s">
        <v>83</v>
      </c>
      <c r="P107" s="68">
        <v>45610</v>
      </c>
      <c r="Q107" s="67">
        <v>45623</v>
      </c>
      <c r="R107" s="67">
        <v>45621</v>
      </c>
      <c r="S107" s="71">
        <f>IF(OR(ISBLANK(table1[[#This Row],[ميعاد الطلب]]),ISBLANK(table1[[#This Row],[ميعاد التسليم]])),0,table1[[#This Row],[ميعاد التسليم]]-table1[[#This Row],[ميعاد الطلب]])</f>
        <v>13</v>
      </c>
      <c r="T107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11</v>
      </c>
      <c r="U107" s="83">
        <v>2</v>
      </c>
      <c r="V107" s="83" t="str" cm="1">
        <f t="array" ref="V107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07" t="s">
        <v>197</v>
      </c>
      <c r="X107" t="s">
        <v>196</v>
      </c>
      <c r="Y107" s="1" t="str">
        <f>TRIM(table1[[#This Row],[الحالة]])</f>
        <v>تم التسليم</v>
      </c>
    </row>
    <row r="108" spans="1:25" ht="20.100000000000001" customHeight="1" x14ac:dyDescent="0.3">
      <c r="A108" t="s">
        <v>81</v>
      </c>
      <c r="B108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108" t="s">
        <v>270</v>
      </c>
      <c r="D108" t="s">
        <v>359</v>
      </c>
      <c r="E108" t="s">
        <v>415</v>
      </c>
      <c r="F108" t="s">
        <v>148</v>
      </c>
      <c r="G108" t="s">
        <v>271</v>
      </c>
      <c r="H108" t="s">
        <v>150</v>
      </c>
      <c r="I108">
        <v>90</v>
      </c>
      <c r="J108" t="s">
        <v>334</v>
      </c>
      <c r="K108" t="s">
        <v>334</v>
      </c>
      <c r="L108" t="s">
        <v>420</v>
      </c>
      <c r="M108"/>
      <c r="N108">
        <v>5294</v>
      </c>
      <c r="O108" t="s">
        <v>83</v>
      </c>
      <c r="P108" s="68">
        <v>45610</v>
      </c>
      <c r="Q108" s="67">
        <v>45623</v>
      </c>
      <c r="R108" s="67">
        <v>45621</v>
      </c>
      <c r="S108" s="71">
        <f>IF(OR(ISBLANK(table1[[#This Row],[ميعاد الطلب]]),ISBLANK(table1[[#This Row],[ميعاد التسليم]])),0,table1[[#This Row],[ميعاد التسليم]]-table1[[#This Row],[ميعاد الطلب]])</f>
        <v>13</v>
      </c>
      <c r="T108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11</v>
      </c>
      <c r="U108" s="83">
        <v>2</v>
      </c>
      <c r="V108" s="83" t="str" cm="1">
        <f t="array" ref="V108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08" t="s">
        <v>197</v>
      </c>
      <c r="X108" t="s">
        <v>196</v>
      </c>
      <c r="Y108" s="1" t="str">
        <f>TRIM(table1[[#This Row],[الحالة]])</f>
        <v>تم التسليم</v>
      </c>
    </row>
    <row r="109" spans="1:25" ht="20.100000000000001" customHeight="1" x14ac:dyDescent="0.3">
      <c r="A109" t="s">
        <v>409</v>
      </c>
      <c r="B109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09" t="s">
        <v>276</v>
      </c>
      <c r="D109" t="s">
        <v>339</v>
      </c>
      <c r="E109" t="s">
        <v>416</v>
      </c>
      <c r="F109" t="s">
        <v>148</v>
      </c>
      <c r="G109" t="s">
        <v>271</v>
      </c>
      <c r="H109" t="s">
        <v>275</v>
      </c>
      <c r="I109">
        <v>80</v>
      </c>
      <c r="J109" t="s">
        <v>333</v>
      </c>
      <c r="K109" t="s">
        <v>333</v>
      </c>
      <c r="L109" t="s">
        <v>420</v>
      </c>
      <c r="M109"/>
      <c r="N109">
        <v>7396</v>
      </c>
      <c r="O109" t="s">
        <v>15</v>
      </c>
      <c r="P109" s="68">
        <v>45613</v>
      </c>
      <c r="Q109" s="67">
        <v>45624</v>
      </c>
      <c r="R109" s="67">
        <v>45622</v>
      </c>
      <c r="S109" s="71">
        <f>IF(OR(ISBLANK(table1[[#This Row],[ميعاد الطلب]]),ISBLANK(table1[[#This Row],[ميعاد التسليم]])),0,table1[[#This Row],[ميعاد التسليم]]-table1[[#This Row],[ميعاد الطلب]])</f>
        <v>11</v>
      </c>
      <c r="T109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9</v>
      </c>
      <c r="U109" s="83">
        <v>2</v>
      </c>
      <c r="V109" s="83" t="str" cm="1">
        <f t="array" ref="V109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09" t="s">
        <v>197</v>
      </c>
      <c r="X109" t="s">
        <v>196</v>
      </c>
      <c r="Y109" s="1" t="str">
        <f>TRIM(table1[[#This Row],[الحالة]])</f>
        <v>تم التسليم</v>
      </c>
    </row>
    <row r="110" spans="1:25" ht="20.100000000000001" customHeight="1" x14ac:dyDescent="0.3">
      <c r="A110" t="s">
        <v>129</v>
      </c>
      <c r="B110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10" t="s">
        <v>276</v>
      </c>
      <c r="D110" t="s">
        <v>339</v>
      </c>
      <c r="E110" t="s">
        <v>7</v>
      </c>
      <c r="F110" t="s">
        <v>148</v>
      </c>
      <c r="G110" t="s">
        <v>163</v>
      </c>
      <c r="H110" t="s">
        <v>152</v>
      </c>
      <c r="I110">
        <v>90</v>
      </c>
      <c r="J110" t="s">
        <v>334</v>
      </c>
      <c r="K110" t="s">
        <v>334</v>
      </c>
      <c r="L110" t="s">
        <v>420</v>
      </c>
      <c r="M110"/>
      <c r="N110">
        <v>13439</v>
      </c>
      <c r="O110">
        <v>13575</v>
      </c>
      <c r="P110" s="68">
        <v>45616</v>
      </c>
      <c r="Q110" s="67">
        <v>45631</v>
      </c>
      <c r="R110" s="67">
        <v>45622</v>
      </c>
      <c r="S110" s="71">
        <f>IF(OR(ISBLANK(table1[[#This Row],[ميعاد الطلب]]),ISBLANK(table1[[#This Row],[ميعاد التسليم]])),0,table1[[#This Row],[ميعاد التسليم]]-table1[[#This Row],[ميعاد الطلب]])</f>
        <v>15</v>
      </c>
      <c r="T110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6</v>
      </c>
      <c r="U110" s="83">
        <v>9</v>
      </c>
      <c r="V110" s="83" t="str" cm="1">
        <f t="array" ref="V110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10" t="s">
        <v>197</v>
      </c>
      <c r="X110" t="s">
        <v>196</v>
      </c>
      <c r="Y110" s="1" t="str">
        <f>TRIM(table1[[#This Row],[الحالة]])</f>
        <v>تم التسليم</v>
      </c>
    </row>
    <row r="111" spans="1:25" ht="20.100000000000001" customHeight="1" x14ac:dyDescent="0.3">
      <c r="A111" t="s">
        <v>42</v>
      </c>
      <c r="B111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111" t="s">
        <v>41</v>
      </c>
      <c r="D111" t="s">
        <v>344</v>
      </c>
      <c r="E111" t="s">
        <v>42</v>
      </c>
      <c r="F111" t="s">
        <v>148</v>
      </c>
      <c r="G111" t="s">
        <v>277</v>
      </c>
      <c r="H111" t="s">
        <v>278</v>
      </c>
      <c r="I111">
        <v>160</v>
      </c>
      <c r="J111" t="s">
        <v>334</v>
      </c>
      <c r="K111" t="s">
        <v>334</v>
      </c>
      <c r="L111" t="s">
        <v>420</v>
      </c>
      <c r="M111"/>
      <c r="N111">
        <v>5100</v>
      </c>
      <c r="O111" t="s">
        <v>83</v>
      </c>
      <c r="P111" s="68">
        <v>45610</v>
      </c>
      <c r="Q111" s="67">
        <v>45634</v>
      </c>
      <c r="R111" s="67"/>
      <c r="S111" s="71">
        <f>IF(OR(ISBLANK(table1[[#This Row],[ميعاد الطلب]]),ISBLANK(table1[[#This Row],[ميعاد التسليم]])),0,table1[[#This Row],[ميعاد التسليم]]-table1[[#This Row],[ميعاد الطلب]])</f>
        <v>24</v>
      </c>
      <c r="T111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111" s="83" t="s">
        <v>430</v>
      </c>
      <c r="V111" s="83" t="str" cm="1">
        <f t="array" ref="V111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111"/>
      <c r="X111"/>
      <c r="Y111" s="1" t="str">
        <f>TRIM(table1[[#This Row],[الحالة]])</f>
        <v/>
      </c>
    </row>
    <row r="112" spans="1:25" ht="20.100000000000001" customHeight="1" x14ac:dyDescent="0.3">
      <c r="A112" t="s">
        <v>279</v>
      </c>
      <c r="B112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12" t="s">
        <v>48</v>
      </c>
      <c r="D112" t="s">
        <v>344</v>
      </c>
      <c r="E112" t="s">
        <v>34</v>
      </c>
      <c r="F112" t="s">
        <v>148</v>
      </c>
      <c r="G112" t="s">
        <v>151</v>
      </c>
      <c r="H112" t="s">
        <v>281</v>
      </c>
      <c r="I112">
        <v>160</v>
      </c>
      <c r="J112" t="s">
        <v>174</v>
      </c>
      <c r="K112" t="s">
        <v>174</v>
      </c>
      <c r="L112" t="s">
        <v>333</v>
      </c>
      <c r="M112"/>
      <c r="N112">
        <v>6000</v>
      </c>
      <c r="O112">
        <v>5800</v>
      </c>
      <c r="P112" s="68">
        <v>45618</v>
      </c>
      <c r="Q112" s="67">
        <v>45628</v>
      </c>
      <c r="R112" s="67">
        <v>45623</v>
      </c>
      <c r="S112" s="71">
        <f>IF(OR(ISBLANK(table1[[#This Row],[ميعاد الطلب]]),ISBLANK(table1[[#This Row],[ميعاد التسليم]])),0,table1[[#This Row],[ميعاد التسليم]]-table1[[#This Row],[ميعاد الطلب]])</f>
        <v>10</v>
      </c>
      <c r="T112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5</v>
      </c>
      <c r="U112" s="83">
        <v>5</v>
      </c>
      <c r="V112" s="83" t="str" cm="1">
        <f t="array" ref="V112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12" t="s">
        <v>197</v>
      </c>
      <c r="X112" t="s">
        <v>196</v>
      </c>
      <c r="Y112" s="1" t="str">
        <f>TRIM(table1[[#This Row],[الحالة]])</f>
        <v>تم التسليم</v>
      </c>
    </row>
    <row r="113" spans="1:25" ht="20.100000000000001" customHeight="1" x14ac:dyDescent="0.3">
      <c r="A113" t="s">
        <v>410</v>
      </c>
      <c r="B113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13" t="s">
        <v>361</v>
      </c>
      <c r="D113" t="s">
        <v>344</v>
      </c>
      <c r="E113" t="s">
        <v>7</v>
      </c>
      <c r="F113" t="s">
        <v>148</v>
      </c>
      <c r="G113" t="s">
        <v>277</v>
      </c>
      <c r="H113" t="s">
        <v>285</v>
      </c>
      <c r="I113">
        <v>120</v>
      </c>
      <c r="J113" t="s">
        <v>170</v>
      </c>
      <c r="K113" t="s">
        <v>170</v>
      </c>
      <c r="L113" t="s">
        <v>420</v>
      </c>
      <c r="M113"/>
      <c r="N113">
        <v>10885</v>
      </c>
      <c r="O113">
        <v>7965</v>
      </c>
      <c r="P113" s="68">
        <v>45620</v>
      </c>
      <c r="Q113" s="67">
        <v>45631</v>
      </c>
      <c r="R113" s="67">
        <v>45636</v>
      </c>
      <c r="S113" s="71">
        <f>IF(OR(ISBLANK(table1[[#This Row],[ميعاد الطلب]]),ISBLANK(table1[[#This Row],[ميعاد التسليم]])),0,table1[[#This Row],[ميعاد التسليم]]-table1[[#This Row],[ميعاد الطلب]])</f>
        <v>11</v>
      </c>
      <c r="T113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16</v>
      </c>
      <c r="U113" s="83">
        <v>-5</v>
      </c>
      <c r="V113" s="83" t="str" cm="1">
        <f t="array" ref="V113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113" t="s">
        <v>197</v>
      </c>
      <c r="X113" t="s">
        <v>196</v>
      </c>
      <c r="Y113" s="1" t="str">
        <f>TRIM(table1[[#This Row],[الحالة]])</f>
        <v>تم التسليم</v>
      </c>
    </row>
    <row r="114" spans="1:25" ht="20.100000000000001" customHeight="1" x14ac:dyDescent="0.3">
      <c r="A114" t="s">
        <v>42</v>
      </c>
      <c r="B114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114" t="s">
        <v>41</v>
      </c>
      <c r="D114" t="s">
        <v>344</v>
      </c>
      <c r="E114" t="s">
        <v>42</v>
      </c>
      <c r="F114" t="s">
        <v>159</v>
      </c>
      <c r="G114" t="s">
        <v>286</v>
      </c>
      <c r="H114" t="s">
        <v>286</v>
      </c>
      <c r="I114"/>
      <c r="J114" t="s">
        <v>420</v>
      </c>
      <c r="K114" t="s">
        <v>420</v>
      </c>
      <c r="L114" t="s">
        <v>420</v>
      </c>
      <c r="M114"/>
      <c r="N114">
        <v>6000</v>
      </c>
      <c r="O114">
        <v>6000</v>
      </c>
      <c r="P114" s="68">
        <v>45615</v>
      </c>
      <c r="Q114" s="67">
        <v>45631</v>
      </c>
      <c r="R114" s="67">
        <v>45616</v>
      </c>
      <c r="S114" s="71">
        <f>IF(OR(ISBLANK(table1[[#This Row],[ميعاد الطلب]]),ISBLANK(table1[[#This Row],[ميعاد التسليم]])),0,table1[[#This Row],[ميعاد التسليم]]-table1[[#This Row],[ميعاد الطلب]])</f>
        <v>16</v>
      </c>
      <c r="T114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</v>
      </c>
      <c r="U114" s="83">
        <v>15</v>
      </c>
      <c r="V114" s="83" t="str" cm="1">
        <f t="array" ref="V114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14" t="s">
        <v>287</v>
      </c>
      <c r="X114" t="s">
        <v>196</v>
      </c>
      <c r="Y114" s="1" t="str">
        <f>TRIM(table1[[#This Row],[الحالة]])</f>
        <v>تم التسليم</v>
      </c>
    </row>
    <row r="115" spans="1:25" ht="20.100000000000001" customHeight="1" x14ac:dyDescent="0.3">
      <c r="A115" t="s">
        <v>288</v>
      </c>
      <c r="B115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15" t="s">
        <v>362</v>
      </c>
      <c r="D115" t="s">
        <v>340</v>
      </c>
      <c r="E115" t="s">
        <v>7</v>
      </c>
      <c r="F115" t="s">
        <v>155</v>
      </c>
      <c r="G115"/>
      <c r="H115" t="s">
        <v>291</v>
      </c>
      <c r="I115"/>
      <c r="J115" t="s">
        <v>420</v>
      </c>
      <c r="K115" t="s">
        <v>420</v>
      </c>
      <c r="L115" t="s">
        <v>420</v>
      </c>
      <c r="M115"/>
      <c r="N115">
        <v>8449</v>
      </c>
      <c r="O115" t="s">
        <v>15</v>
      </c>
      <c r="P115" s="68">
        <v>45623</v>
      </c>
      <c r="Q115" s="67">
        <v>45636</v>
      </c>
      <c r="R115" s="67">
        <v>45649</v>
      </c>
      <c r="S115" s="71">
        <f>IF(OR(ISBLANK(table1[[#This Row],[ميعاد الطلب]]),ISBLANK(table1[[#This Row],[ميعاد التسليم]])),0,table1[[#This Row],[ميعاد التسليم]]-table1[[#This Row],[ميعاد الطلب]])</f>
        <v>13</v>
      </c>
      <c r="T115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26</v>
      </c>
      <c r="U115" s="83">
        <v>-13</v>
      </c>
      <c r="V115" s="83" t="str" cm="1">
        <f t="array" ref="V115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115" t="s">
        <v>27</v>
      </c>
      <c r="X115" t="s">
        <v>196</v>
      </c>
      <c r="Y115" s="1" t="str">
        <f>TRIM(table1[[#This Row],[الحالة]])</f>
        <v>تم التسليم</v>
      </c>
    </row>
    <row r="116" spans="1:25" ht="20.100000000000001" customHeight="1" x14ac:dyDescent="0.3">
      <c r="A116" t="s">
        <v>292</v>
      </c>
      <c r="B116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16" t="s">
        <v>346</v>
      </c>
      <c r="D116" t="s">
        <v>344</v>
      </c>
      <c r="E116" t="s">
        <v>7</v>
      </c>
      <c r="F116" t="s">
        <v>155</v>
      </c>
      <c r="G116" t="s">
        <v>293</v>
      </c>
      <c r="H116" t="s">
        <v>294</v>
      </c>
      <c r="I116"/>
      <c r="J116" t="s">
        <v>333</v>
      </c>
      <c r="K116" t="s">
        <v>333</v>
      </c>
      <c r="L116" t="s">
        <v>419</v>
      </c>
      <c r="M116"/>
      <c r="N116">
        <v>10249</v>
      </c>
      <c r="O116">
        <v>6211</v>
      </c>
      <c r="P116" s="68">
        <v>45623</v>
      </c>
      <c r="Q116" s="67">
        <v>45636</v>
      </c>
      <c r="R116" s="67">
        <v>45645</v>
      </c>
      <c r="S116" s="71">
        <f>IF(OR(ISBLANK(table1[[#This Row],[ميعاد الطلب]]),ISBLANK(table1[[#This Row],[ميعاد التسليم]])),0,table1[[#This Row],[ميعاد التسليم]]-table1[[#This Row],[ميعاد الطلب]])</f>
        <v>13</v>
      </c>
      <c r="T116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22</v>
      </c>
      <c r="U116" s="83">
        <v>-9</v>
      </c>
      <c r="V116" s="83" t="str" cm="1">
        <f t="array" ref="V116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116" t="s">
        <v>197</v>
      </c>
      <c r="X116" t="s">
        <v>196</v>
      </c>
      <c r="Y116" s="1" t="str">
        <f>TRIM(table1[[#This Row],[الحالة]])</f>
        <v>تم التسليم</v>
      </c>
    </row>
    <row r="117" spans="1:25" ht="20.100000000000001" customHeight="1" x14ac:dyDescent="0.3">
      <c r="A117" t="s">
        <v>296</v>
      </c>
      <c r="B117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17" t="s">
        <v>297</v>
      </c>
      <c r="D117" t="s">
        <v>340</v>
      </c>
      <c r="E117" t="s">
        <v>7</v>
      </c>
      <c r="F117" t="s">
        <v>148</v>
      </c>
      <c r="G117" t="s">
        <v>163</v>
      </c>
      <c r="H117" t="s">
        <v>153</v>
      </c>
      <c r="I117">
        <v>100</v>
      </c>
      <c r="J117" t="s">
        <v>334</v>
      </c>
      <c r="K117" t="s">
        <v>334</v>
      </c>
      <c r="L117" t="s">
        <v>420</v>
      </c>
      <c r="M117"/>
      <c r="N117">
        <v>14905</v>
      </c>
      <c r="O117" t="s">
        <v>15</v>
      </c>
      <c r="P117" s="68">
        <v>45625</v>
      </c>
      <c r="Q117" s="67">
        <v>45641</v>
      </c>
      <c r="R117" s="67"/>
      <c r="S117" s="71">
        <f>IF(OR(ISBLANK(table1[[#This Row],[ميعاد الطلب]]),ISBLANK(table1[[#This Row],[ميعاد التسليم]])),0,table1[[#This Row],[ميعاد التسليم]]-table1[[#This Row],[ميعاد الطلب]])</f>
        <v>16</v>
      </c>
      <c r="T117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117" s="83" t="s">
        <v>430</v>
      </c>
      <c r="V117" s="83" t="str" cm="1">
        <f t="array" ref="V117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117" t="s">
        <v>317</v>
      </c>
      <c r="X117" t="s">
        <v>234</v>
      </c>
      <c r="Y117" s="1" t="str">
        <f>TRIM(table1[[#This Row],[الحالة]])</f>
        <v>لاغى</v>
      </c>
    </row>
    <row r="118" spans="1:25" ht="20.100000000000001" customHeight="1" x14ac:dyDescent="0.3">
      <c r="A118" t="s">
        <v>301</v>
      </c>
      <c r="B118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18" t="s">
        <v>66</v>
      </c>
      <c r="D118" t="s">
        <v>344</v>
      </c>
      <c r="E118" t="s">
        <v>7</v>
      </c>
      <c r="F118" t="s">
        <v>155</v>
      </c>
      <c r="G118" t="s">
        <v>293</v>
      </c>
      <c r="H118" t="s">
        <v>294</v>
      </c>
      <c r="I118"/>
      <c r="J118" t="s">
        <v>334</v>
      </c>
      <c r="K118" t="s">
        <v>334</v>
      </c>
      <c r="L118" t="s">
        <v>300</v>
      </c>
      <c r="M118"/>
      <c r="N118">
        <v>10249</v>
      </c>
      <c r="O118" t="s">
        <v>15</v>
      </c>
      <c r="P118" s="68">
        <v>45626</v>
      </c>
      <c r="Q118" s="67">
        <v>45638</v>
      </c>
      <c r="R118" s="67"/>
      <c r="S118" s="71">
        <f>IF(OR(ISBLANK(table1[[#This Row],[ميعاد الطلب]]),ISBLANK(table1[[#This Row],[ميعاد التسليم]])),0,table1[[#This Row],[ميعاد التسليم]]-table1[[#This Row],[ميعاد الطلب]])</f>
        <v>12</v>
      </c>
      <c r="T118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118" s="83" t="s">
        <v>430</v>
      </c>
      <c r="V118" s="83" t="str" cm="1">
        <f t="array" ref="V118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118"/>
      <c r="X118" t="s">
        <v>234</v>
      </c>
      <c r="Y118" s="1" t="str">
        <f>TRIM(table1[[#This Row],[الحالة]])</f>
        <v>لاغى</v>
      </c>
    </row>
    <row r="119" spans="1:25" ht="20.100000000000001" customHeight="1" x14ac:dyDescent="0.3">
      <c r="A119" t="s">
        <v>301</v>
      </c>
      <c r="B119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19" t="s">
        <v>66</v>
      </c>
      <c r="D119" t="s">
        <v>344</v>
      </c>
      <c r="E119" t="s">
        <v>7</v>
      </c>
      <c r="F119" t="s">
        <v>155</v>
      </c>
      <c r="G119" t="s">
        <v>187</v>
      </c>
      <c r="H119"/>
      <c r="I119"/>
      <c r="J119" t="s">
        <v>334</v>
      </c>
      <c r="K119" t="s">
        <v>334</v>
      </c>
      <c r="L119" t="s">
        <v>300</v>
      </c>
      <c r="M119"/>
      <c r="N119">
        <v>9029</v>
      </c>
      <c r="O119" t="s">
        <v>15</v>
      </c>
      <c r="P119" s="68">
        <v>45626</v>
      </c>
      <c r="Q119" s="67">
        <v>45638</v>
      </c>
      <c r="R119" s="67"/>
      <c r="S119" s="71">
        <f>IF(OR(ISBLANK(table1[[#This Row],[ميعاد الطلب]]),ISBLANK(table1[[#This Row],[ميعاد التسليم]])),0,table1[[#This Row],[ميعاد التسليم]]-table1[[#This Row],[ميعاد الطلب]])</f>
        <v>12</v>
      </c>
      <c r="T119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119" s="83" t="s">
        <v>430</v>
      </c>
      <c r="V119" s="83" t="str" cm="1">
        <f t="array" ref="V119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119"/>
      <c r="X119" t="s">
        <v>234</v>
      </c>
      <c r="Y119" s="1" t="str">
        <f>TRIM(table1[[#This Row],[الحالة]])</f>
        <v>لاغى</v>
      </c>
    </row>
    <row r="120" spans="1:25" ht="20.100000000000001" customHeight="1" x14ac:dyDescent="0.3">
      <c r="A120" t="s">
        <v>304</v>
      </c>
      <c r="B120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20" t="s">
        <v>142</v>
      </c>
      <c r="D120" t="s">
        <v>349</v>
      </c>
      <c r="E120" t="s">
        <v>7</v>
      </c>
      <c r="F120" t="s">
        <v>155</v>
      </c>
      <c r="G120" t="s">
        <v>305</v>
      </c>
      <c r="H120"/>
      <c r="I120"/>
      <c r="J120" t="s">
        <v>334</v>
      </c>
      <c r="K120" t="s">
        <v>334</v>
      </c>
      <c r="L120" t="s">
        <v>216</v>
      </c>
      <c r="M120"/>
      <c r="N120">
        <v>9029</v>
      </c>
      <c r="O120" t="s">
        <v>15</v>
      </c>
      <c r="P120" s="68">
        <v>45626</v>
      </c>
      <c r="Q120" s="67">
        <v>45638</v>
      </c>
      <c r="R120" s="67"/>
      <c r="S120" s="71">
        <f>IF(OR(ISBLANK(table1[[#This Row],[ميعاد الطلب]]),ISBLANK(table1[[#This Row],[ميعاد التسليم]])),0,table1[[#This Row],[ميعاد التسليم]]-table1[[#This Row],[ميعاد الطلب]])</f>
        <v>12</v>
      </c>
      <c r="T120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120" s="83" t="s">
        <v>430</v>
      </c>
      <c r="V120" s="83" t="str" cm="1">
        <f t="array" ref="V120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120"/>
      <c r="X120"/>
      <c r="Y120" s="1" t="str">
        <f>TRIM(table1[[#This Row],[الحالة]])</f>
        <v/>
      </c>
    </row>
    <row r="121" spans="1:25" ht="20.100000000000001" customHeight="1" x14ac:dyDescent="0.3">
      <c r="A121" t="s">
        <v>307</v>
      </c>
      <c r="B121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21" t="s">
        <v>308</v>
      </c>
      <c r="D121" t="s">
        <v>344</v>
      </c>
      <c r="E121" t="s">
        <v>7</v>
      </c>
      <c r="F121" t="s">
        <v>148</v>
      </c>
      <c r="G121" t="s">
        <v>271</v>
      </c>
      <c r="H121" t="s">
        <v>150</v>
      </c>
      <c r="I121">
        <v>80</v>
      </c>
      <c r="J121" t="s">
        <v>333</v>
      </c>
      <c r="K121" t="s">
        <v>333</v>
      </c>
      <c r="L121" t="s">
        <v>420</v>
      </c>
      <c r="M121"/>
      <c r="N121">
        <v>12099</v>
      </c>
      <c r="O121" t="s">
        <v>15</v>
      </c>
      <c r="P121" s="68">
        <v>45628</v>
      </c>
      <c r="Q121" s="67">
        <v>45643</v>
      </c>
      <c r="R121" s="67"/>
      <c r="S121" s="71">
        <f>IF(OR(ISBLANK(table1[[#This Row],[ميعاد الطلب]]),ISBLANK(table1[[#This Row],[ميعاد التسليم]])),0,table1[[#This Row],[ميعاد التسليم]]-table1[[#This Row],[ميعاد الطلب]])</f>
        <v>15</v>
      </c>
      <c r="T121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0</v>
      </c>
      <c r="U121" s="83" t="s">
        <v>430</v>
      </c>
      <c r="V121" s="83" t="str" cm="1">
        <f t="array" ref="V121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لا يوجد تاريخ</v>
      </c>
      <c r="W121"/>
      <c r="X121" t="s">
        <v>234</v>
      </c>
      <c r="Y121" s="1" t="str">
        <f>TRIM(table1[[#This Row],[الحالة]])</f>
        <v>لاغى</v>
      </c>
    </row>
    <row r="122" spans="1:25" ht="20.100000000000001" customHeight="1" x14ac:dyDescent="0.3">
      <c r="A122" t="s">
        <v>81</v>
      </c>
      <c r="B122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122" t="s">
        <v>358</v>
      </c>
      <c r="D122" t="s">
        <v>348</v>
      </c>
      <c r="E122" t="s">
        <v>415</v>
      </c>
      <c r="F122" t="s">
        <v>148</v>
      </c>
      <c r="G122" t="s">
        <v>271</v>
      </c>
      <c r="H122" t="s">
        <v>275</v>
      </c>
      <c r="I122">
        <v>90</v>
      </c>
      <c r="J122" t="s">
        <v>168</v>
      </c>
      <c r="K122" t="s">
        <v>168</v>
      </c>
      <c r="L122" t="s">
        <v>420</v>
      </c>
      <c r="M122"/>
      <c r="N122">
        <v>5217</v>
      </c>
      <c r="O122" t="s">
        <v>83</v>
      </c>
      <c r="P122" s="68">
        <v>45627</v>
      </c>
      <c r="Q122" s="67">
        <v>45640</v>
      </c>
      <c r="R122" s="67">
        <v>45636</v>
      </c>
      <c r="S122" s="71">
        <f>IF(OR(ISBLANK(table1[[#This Row],[ميعاد الطلب]]),ISBLANK(table1[[#This Row],[ميعاد التسليم]])),0,table1[[#This Row],[ميعاد التسليم]]-table1[[#This Row],[ميعاد الطلب]])</f>
        <v>13</v>
      </c>
      <c r="T122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9</v>
      </c>
      <c r="U122" s="83">
        <v>4</v>
      </c>
      <c r="V122" s="83" t="str" cm="1">
        <f t="array" ref="V122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22" t="s">
        <v>197</v>
      </c>
      <c r="X122" t="s">
        <v>196</v>
      </c>
      <c r="Y122" s="1" t="str">
        <f>TRIM(table1[[#This Row],[الحالة]])</f>
        <v>تم التسليم</v>
      </c>
    </row>
    <row r="123" spans="1:25" ht="20.100000000000001" customHeight="1" x14ac:dyDescent="0.3">
      <c r="A123" t="s">
        <v>411</v>
      </c>
      <c r="B123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23" t="s">
        <v>133</v>
      </c>
      <c r="D123" t="s">
        <v>348</v>
      </c>
      <c r="E123" t="s">
        <v>7</v>
      </c>
      <c r="F123" t="s">
        <v>148</v>
      </c>
      <c r="G123" t="s">
        <v>149</v>
      </c>
      <c r="H123"/>
      <c r="I123"/>
      <c r="J123" t="s">
        <v>334</v>
      </c>
      <c r="K123" t="s">
        <v>334</v>
      </c>
      <c r="L123" t="s">
        <v>334</v>
      </c>
      <c r="M123"/>
      <c r="N123">
        <v>10249</v>
      </c>
      <c r="O123">
        <v>6211</v>
      </c>
      <c r="P123" s="68">
        <v>45630</v>
      </c>
      <c r="Q123" s="67">
        <v>45640</v>
      </c>
      <c r="R123" s="67">
        <v>45645</v>
      </c>
      <c r="S123" s="71">
        <f>IF(OR(ISBLANK(table1[[#This Row],[ميعاد الطلب]]),ISBLANK(table1[[#This Row],[ميعاد التسليم]])),0,table1[[#This Row],[ميعاد التسليم]]-table1[[#This Row],[ميعاد الطلب]])</f>
        <v>10</v>
      </c>
      <c r="T123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15</v>
      </c>
      <c r="U123" s="83">
        <v>-5</v>
      </c>
      <c r="V123" s="83" t="str" cm="1">
        <f t="array" ref="V123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123" t="s">
        <v>197</v>
      </c>
      <c r="X123" t="s">
        <v>196</v>
      </c>
      <c r="Y123" s="1" t="str">
        <f>TRIM(table1[[#This Row],[الحالة]])</f>
        <v>تم التسليم</v>
      </c>
    </row>
    <row r="124" spans="1:25" ht="20.100000000000001" customHeight="1" x14ac:dyDescent="0.3">
      <c r="A124" t="s">
        <v>311</v>
      </c>
      <c r="B124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24" t="s">
        <v>363</v>
      </c>
      <c r="D124" t="s">
        <v>344</v>
      </c>
      <c r="E124" t="s">
        <v>51</v>
      </c>
      <c r="F124" t="s">
        <v>148</v>
      </c>
      <c r="G124" t="s">
        <v>163</v>
      </c>
      <c r="H124" t="s">
        <v>152</v>
      </c>
      <c r="I124"/>
      <c r="J124" t="s">
        <v>334</v>
      </c>
      <c r="K124" t="s">
        <v>334</v>
      </c>
      <c r="L124" t="s">
        <v>420</v>
      </c>
      <c r="M124"/>
      <c r="N124">
        <v>10445</v>
      </c>
      <c r="O124">
        <v>7707</v>
      </c>
      <c r="P124" s="68">
        <v>45635</v>
      </c>
      <c r="Q124" s="67">
        <v>45657</v>
      </c>
      <c r="R124" s="67">
        <v>45638</v>
      </c>
      <c r="S124" s="71">
        <f>IF(OR(ISBLANK(table1[[#This Row],[ميعاد الطلب]]),ISBLANK(table1[[#This Row],[ميعاد التسليم]])),0,table1[[#This Row],[ميعاد التسليم]]-table1[[#This Row],[ميعاد الطلب]])</f>
        <v>22</v>
      </c>
      <c r="T124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3</v>
      </c>
      <c r="U124" s="83">
        <v>19</v>
      </c>
      <c r="V124" s="83" t="str" cm="1">
        <f t="array" ref="V124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24" t="s">
        <v>197</v>
      </c>
      <c r="X124" t="s">
        <v>196</v>
      </c>
      <c r="Y124" s="1" t="str">
        <f>TRIM(table1[[#This Row],[الحالة]])</f>
        <v>تم التسليم</v>
      </c>
    </row>
    <row r="125" spans="1:25" ht="20.100000000000001" customHeight="1" x14ac:dyDescent="0.3">
      <c r="A125" t="s">
        <v>412</v>
      </c>
      <c r="B125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25" t="s">
        <v>66</v>
      </c>
      <c r="D125" t="s">
        <v>344</v>
      </c>
      <c r="E125" t="s">
        <v>7</v>
      </c>
      <c r="F125" t="s">
        <v>155</v>
      </c>
      <c r="G125" t="s">
        <v>314</v>
      </c>
      <c r="H125" t="s">
        <v>294</v>
      </c>
      <c r="I125"/>
      <c r="J125" t="s">
        <v>334</v>
      </c>
      <c r="K125" t="s">
        <v>334</v>
      </c>
      <c r="L125" t="s">
        <v>300</v>
      </c>
      <c r="M125"/>
      <c r="N125">
        <v>11199</v>
      </c>
      <c r="O125">
        <v>11257</v>
      </c>
      <c r="P125" s="68">
        <v>45638</v>
      </c>
      <c r="Q125" s="67">
        <v>45650</v>
      </c>
      <c r="R125" s="67">
        <v>45645</v>
      </c>
      <c r="S125" s="71">
        <f>IF(OR(ISBLANK(table1[[#This Row],[ميعاد الطلب]]),ISBLANK(table1[[#This Row],[ميعاد التسليم]])),0,table1[[#This Row],[ميعاد التسليم]]-table1[[#This Row],[ميعاد الطلب]])</f>
        <v>12</v>
      </c>
      <c r="T125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7</v>
      </c>
      <c r="U125" s="83">
        <v>5</v>
      </c>
      <c r="V125" s="83" t="str" cm="1">
        <f t="array" ref="V125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25" t="s">
        <v>197</v>
      </c>
      <c r="X125" t="s">
        <v>196</v>
      </c>
      <c r="Y125" s="1" t="str">
        <f>TRIM(table1[[#This Row],[الحالة]])</f>
        <v>تم التسليم</v>
      </c>
    </row>
    <row r="126" spans="1:25" ht="20.100000000000001" customHeight="1" x14ac:dyDescent="0.3">
      <c r="A126" t="s">
        <v>315</v>
      </c>
      <c r="B126" t="str">
        <f>IF(OR(table1[[#This Row],[أسم العميل]]="تاكى",table1[[#This Row],[أسم العميل]]="أوسكار راتن",table1[[#This Row],[أسم العميل]]="شيك هومز"),"شركات","أفراد")</f>
        <v>أفراد</v>
      </c>
      <c r="C126" t="s">
        <v>276</v>
      </c>
      <c r="D126" t="s">
        <v>339</v>
      </c>
      <c r="E126" t="s">
        <v>7</v>
      </c>
      <c r="F126" t="s">
        <v>148</v>
      </c>
      <c r="G126" t="s">
        <v>163</v>
      </c>
      <c r="H126" t="s">
        <v>150</v>
      </c>
      <c r="I126">
        <v>80</v>
      </c>
      <c r="J126" t="s">
        <v>334</v>
      </c>
      <c r="K126" t="s">
        <v>334</v>
      </c>
      <c r="L126" t="s">
        <v>420</v>
      </c>
      <c r="M126"/>
      <c r="N126">
        <v>13099</v>
      </c>
      <c r="O126">
        <v>13231</v>
      </c>
      <c r="P126" s="68">
        <v>45638</v>
      </c>
      <c r="Q126" s="67">
        <v>45654</v>
      </c>
      <c r="R126" s="67">
        <v>45655</v>
      </c>
      <c r="S126" s="71">
        <f>IF(OR(ISBLANK(table1[[#This Row],[ميعاد الطلب]]),ISBLANK(table1[[#This Row],[ميعاد التسليم]])),0,table1[[#This Row],[ميعاد التسليم]]-table1[[#This Row],[ميعاد الطلب]])</f>
        <v>16</v>
      </c>
      <c r="T126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17</v>
      </c>
      <c r="U126" s="83">
        <v>-1</v>
      </c>
      <c r="V126" s="83" t="str" cm="1">
        <f t="array" ref="V126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بعد الموعد</v>
      </c>
      <c r="W126" t="s">
        <v>197</v>
      </c>
      <c r="X126" t="s">
        <v>196</v>
      </c>
      <c r="Y126" s="1" t="str">
        <f>TRIM(table1[[#This Row],[الحالة]])</f>
        <v>تم التسليم</v>
      </c>
    </row>
    <row r="127" spans="1:25" ht="20.100000000000001" customHeight="1" x14ac:dyDescent="0.3">
      <c r="A127" t="s">
        <v>51</v>
      </c>
      <c r="B127" t="str">
        <f>IF(OR(table1[[#This Row],[أسم العميل]]="تاكى",table1[[#This Row],[أسم العميل]]="أوسكار راتن",table1[[#This Row],[أسم العميل]]="شيك هومز"),"شركات","أفراد")</f>
        <v>شركات</v>
      </c>
      <c r="C127" t="s">
        <v>222</v>
      </c>
      <c r="D127" t="s">
        <v>359</v>
      </c>
      <c r="E127" t="s">
        <v>51</v>
      </c>
      <c r="F127" t="s">
        <v>159</v>
      </c>
      <c r="G127" t="s">
        <v>204</v>
      </c>
      <c r="H127" t="s">
        <v>256</v>
      </c>
      <c r="I127"/>
      <c r="J127" t="s">
        <v>334</v>
      </c>
      <c r="K127" t="s">
        <v>334</v>
      </c>
      <c r="L127" t="s">
        <v>316</v>
      </c>
      <c r="M127"/>
      <c r="N127">
        <v>8700</v>
      </c>
      <c r="O127" t="s">
        <v>83</v>
      </c>
      <c r="P127" s="68">
        <v>45640</v>
      </c>
      <c r="Q127" s="67">
        <v>45662</v>
      </c>
      <c r="R127" s="67">
        <v>45655</v>
      </c>
      <c r="S127" s="71">
        <f>IF(OR(ISBLANK(table1[[#This Row],[ميعاد الطلب]]),ISBLANK(table1[[#This Row],[ميعاد التسليم]])),0,table1[[#This Row],[ميعاد التسليم]]-table1[[#This Row],[ميعاد الطلب]])</f>
        <v>22</v>
      </c>
      <c r="T127" s="71">
        <f>IF(OR(ISBLANK(table1[[#This Row],[تاريخ التسليم]]),ISBLANK(table1[[#This Row],[ميعاد الطلب]]),ISBLANK(table1[[#This Row],[ميعاد التسليم]])),0,table1[[#This Row],[تاريخ التسليم]]-table1[[#This Row],[ميعاد الطلب]])</f>
        <v>15</v>
      </c>
      <c r="U127" s="83">
        <v>7</v>
      </c>
      <c r="V127" s="83" t="str" cm="1">
        <f t="array" ref="V127">_xlfn.IFS(OR(table1[[#This Row],[Column4]]=0,table1[[#This Row],[Column4]]="0"),"لا يوجد تاريخ", table1[[#This Row],[Column4]]&gt;0,"تم التسليم قبل الموعد",table1[[#This Row],[Column4]]&lt;0,"تم التسليم بعد الموعد")</f>
        <v>تم التسليم قبل الموعد</v>
      </c>
      <c r="W127" t="s">
        <v>197</v>
      </c>
      <c r="X127" t="s">
        <v>196</v>
      </c>
      <c r="Y127" s="1" t="str">
        <f>TRIM(table1[[#This Row],[الحالة]])</f>
        <v>تم التسليم</v>
      </c>
    </row>
    <row r="128" spans="1:25" ht="20.100000000000001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5"/>
      <c r="O128" s="2"/>
      <c r="P128" s="2"/>
      <c r="Q128" s="2"/>
      <c r="R128" s="2"/>
      <c r="S128" s="2"/>
      <c r="T128" s="2"/>
      <c r="U128" s="84"/>
      <c r="V128" s="84"/>
      <c r="W128" s="79"/>
      <c r="X128" s="26"/>
    </row>
    <row r="129" spans="1:24" ht="20.100000000000001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5"/>
      <c r="O129" s="2"/>
      <c r="P129" s="2"/>
      <c r="Q129" s="2"/>
      <c r="R129" s="2"/>
      <c r="S129" s="2"/>
      <c r="T129" s="2"/>
      <c r="U129" s="84"/>
      <c r="V129" s="84"/>
      <c r="W129" s="79"/>
      <c r="X129" s="26"/>
    </row>
    <row r="130" spans="1:24" ht="20.100000000000001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5"/>
      <c r="O130" s="2"/>
      <c r="P130" s="2"/>
      <c r="Q130" s="2"/>
      <c r="R130" s="2"/>
      <c r="S130" s="2"/>
      <c r="T130" s="2"/>
      <c r="U130" s="84"/>
      <c r="V130" s="84"/>
      <c r="W130" s="79"/>
      <c r="X130" s="26"/>
    </row>
    <row r="131" spans="1:24" ht="20.100000000000001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5"/>
      <c r="O131" s="2"/>
      <c r="P131" s="2"/>
      <c r="Q131" s="2"/>
      <c r="R131" s="2"/>
      <c r="S131" s="2"/>
      <c r="T131" s="2"/>
      <c r="U131" s="84"/>
      <c r="V131" s="84"/>
      <c r="W131" s="79"/>
      <c r="X131" s="26"/>
    </row>
    <row r="132" spans="1:24" ht="20.100000000000001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5"/>
      <c r="O132" s="2"/>
      <c r="P132" s="2"/>
      <c r="Q132" s="2"/>
      <c r="R132" s="2"/>
      <c r="S132" s="2"/>
      <c r="T132" s="2"/>
      <c r="U132" s="84"/>
      <c r="V132" s="84"/>
      <c r="W132" s="79"/>
      <c r="X132" s="26"/>
    </row>
    <row r="133" spans="1:24" ht="20.100000000000001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5"/>
      <c r="O133" s="2"/>
      <c r="P133" s="2"/>
      <c r="Q133" s="2"/>
      <c r="R133" s="2"/>
      <c r="S133" s="2"/>
      <c r="T133" s="2"/>
      <c r="U133" s="84"/>
      <c r="V133" s="84"/>
      <c r="W133" s="79"/>
      <c r="X133" s="26"/>
    </row>
    <row r="134" spans="1:24" ht="20.100000000000001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5"/>
      <c r="O134" s="2"/>
      <c r="P134" s="2"/>
      <c r="Q134" s="2"/>
      <c r="R134" s="2"/>
      <c r="S134" s="2"/>
      <c r="T134" s="2"/>
      <c r="U134" s="84"/>
      <c r="V134" s="84"/>
      <c r="W134" s="79"/>
      <c r="X134" s="26"/>
    </row>
    <row r="135" spans="1:24" ht="20.100000000000001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5"/>
      <c r="O135" s="2"/>
      <c r="P135" s="2"/>
      <c r="Q135" s="2"/>
      <c r="R135" s="2"/>
      <c r="S135" s="2"/>
      <c r="T135" s="2"/>
      <c r="U135" s="84"/>
      <c r="V135" s="84"/>
      <c r="W135" s="79"/>
      <c r="X135" s="26"/>
    </row>
    <row r="136" spans="1:24" ht="20.100000000000001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5"/>
      <c r="O136" s="2"/>
      <c r="P136" s="2"/>
      <c r="Q136" s="2"/>
      <c r="R136" s="2"/>
      <c r="S136" s="2"/>
      <c r="T136" s="2"/>
      <c r="U136" s="84"/>
      <c r="V136" s="84"/>
      <c r="W136" s="79"/>
      <c r="X136" s="26"/>
    </row>
    <row r="137" spans="1:24" ht="20.100000000000001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5"/>
      <c r="O137" s="2"/>
      <c r="P137" s="2"/>
      <c r="Q137" s="2"/>
      <c r="R137" s="2"/>
      <c r="S137" s="2"/>
      <c r="T137" s="2"/>
      <c r="U137" s="84"/>
      <c r="V137" s="84"/>
      <c r="W137" s="79"/>
      <c r="X137" s="26"/>
    </row>
    <row r="138" spans="1:24" ht="20.100000000000001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5"/>
      <c r="O138" s="2"/>
      <c r="P138" s="2"/>
      <c r="Q138" s="2"/>
      <c r="R138" s="2"/>
      <c r="S138" s="2"/>
      <c r="T138" s="2"/>
      <c r="U138" s="84"/>
      <c r="V138" s="84"/>
      <c r="W138" s="79"/>
      <c r="X138" s="26"/>
    </row>
    <row r="139" spans="1:24" ht="20.100000000000001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5"/>
      <c r="O139" s="2"/>
      <c r="P139" s="2"/>
      <c r="Q139" s="2"/>
      <c r="R139" s="2"/>
      <c r="S139" s="2"/>
      <c r="T139" s="2"/>
      <c r="U139" s="84"/>
      <c r="V139" s="84"/>
      <c r="W139" s="79"/>
      <c r="X139" s="26"/>
    </row>
    <row r="140" spans="1:24" ht="20.100000000000001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5"/>
      <c r="O140" s="2"/>
      <c r="P140" s="2"/>
      <c r="Q140" s="2"/>
      <c r="R140" s="2"/>
      <c r="S140" s="2"/>
      <c r="T140" s="2"/>
      <c r="U140" s="84"/>
      <c r="V140" s="84"/>
      <c r="W140" s="79"/>
      <c r="X140" s="26"/>
    </row>
    <row r="141" spans="1:24" ht="20.100000000000001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5"/>
      <c r="O141" s="2"/>
      <c r="P141" s="2"/>
      <c r="Q141" s="2"/>
      <c r="R141" s="2"/>
      <c r="S141" s="2"/>
      <c r="T141" s="2"/>
      <c r="U141" s="84"/>
      <c r="V141" s="84"/>
      <c r="W141" s="79"/>
      <c r="X141" s="26"/>
    </row>
    <row r="142" spans="1:24" ht="20.100000000000001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5"/>
      <c r="O142" s="2"/>
      <c r="P142" s="2"/>
      <c r="Q142" s="2"/>
      <c r="R142" s="2"/>
      <c r="S142" s="2"/>
      <c r="T142" s="2"/>
      <c r="U142" s="84"/>
      <c r="V142" s="84"/>
      <c r="W142" s="79"/>
      <c r="X142" s="26"/>
    </row>
    <row r="143" spans="1:24" ht="20.100000000000001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5"/>
      <c r="O143" s="2"/>
      <c r="P143" s="2"/>
      <c r="Q143" s="2"/>
      <c r="R143" s="2"/>
      <c r="S143" s="2"/>
      <c r="T143" s="2"/>
      <c r="U143" s="84"/>
      <c r="V143" s="84"/>
      <c r="W143" s="79"/>
      <c r="X143" s="26"/>
    </row>
    <row r="144" spans="1:24" ht="20.100000000000001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5"/>
      <c r="O144" s="2"/>
      <c r="P144" s="2"/>
      <c r="Q144" s="2"/>
      <c r="R144" s="2"/>
      <c r="S144" s="2"/>
      <c r="T144" s="2"/>
      <c r="U144" s="84"/>
      <c r="V144" s="84"/>
      <c r="W144" s="79"/>
      <c r="X144" s="26"/>
    </row>
    <row r="145" spans="1:24" ht="20.100000000000001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5"/>
      <c r="O145" s="2"/>
      <c r="P145" s="2"/>
      <c r="Q145" s="2"/>
      <c r="R145" s="2"/>
      <c r="S145" s="2"/>
      <c r="T145" s="2"/>
      <c r="U145" s="84"/>
      <c r="V145" s="84"/>
      <c r="W145" s="79"/>
      <c r="X145" s="26"/>
    </row>
    <row r="146" spans="1:24" ht="20.100000000000001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5"/>
      <c r="O146" s="2"/>
      <c r="P146" s="2"/>
      <c r="Q146" s="2"/>
      <c r="R146" s="2"/>
      <c r="S146" s="2"/>
      <c r="T146" s="2"/>
      <c r="U146" s="84"/>
      <c r="V146" s="84"/>
      <c r="W146" s="79"/>
      <c r="X146" s="26"/>
    </row>
    <row r="147" spans="1:24" ht="20.100000000000001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5"/>
      <c r="O147" s="2"/>
      <c r="P147" s="2"/>
      <c r="Q147" s="2"/>
      <c r="R147" s="2"/>
      <c r="S147" s="2"/>
      <c r="T147" s="2"/>
      <c r="U147" s="84"/>
      <c r="V147" s="84"/>
      <c r="W147" s="79"/>
      <c r="X147" s="26"/>
    </row>
    <row r="148" spans="1:24" ht="20.100000000000001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5"/>
      <c r="O148" s="2"/>
      <c r="P148" s="2"/>
      <c r="Q148" s="2"/>
      <c r="R148" s="2"/>
      <c r="S148" s="2"/>
      <c r="T148" s="2"/>
      <c r="U148" s="84"/>
      <c r="V148" s="84"/>
      <c r="W148" s="79"/>
      <c r="X148" s="26"/>
    </row>
    <row r="149" spans="1:24" ht="20.100000000000001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5"/>
      <c r="O149" s="2"/>
      <c r="P149" s="2"/>
      <c r="Q149" s="2"/>
      <c r="R149" s="2"/>
      <c r="S149" s="2"/>
      <c r="T149" s="2"/>
      <c r="U149" s="84"/>
      <c r="V149" s="84"/>
      <c r="W149" s="79"/>
      <c r="X149" s="26"/>
    </row>
    <row r="150" spans="1:24" ht="20.100000000000001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5"/>
      <c r="O150" s="2"/>
      <c r="P150" s="2"/>
      <c r="Q150" s="2"/>
      <c r="R150" s="2"/>
      <c r="S150" s="2"/>
      <c r="T150" s="2"/>
      <c r="U150" s="84"/>
      <c r="V150" s="84"/>
      <c r="W150" s="79"/>
      <c r="X150" s="26"/>
    </row>
    <row r="151" spans="1:24" ht="20.100000000000001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5"/>
      <c r="O151" s="2"/>
      <c r="P151" s="2"/>
      <c r="Q151" s="2"/>
      <c r="R151" s="2"/>
      <c r="S151" s="2"/>
      <c r="T151" s="2"/>
      <c r="U151" s="84"/>
      <c r="V151" s="84"/>
      <c r="W151" s="79"/>
      <c r="X151" s="26"/>
    </row>
    <row r="152" spans="1:24" ht="20.100000000000001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5"/>
      <c r="O152" s="2"/>
      <c r="P152" s="2"/>
      <c r="Q152" s="2"/>
      <c r="R152" s="2"/>
      <c r="S152" s="2"/>
      <c r="T152" s="2"/>
      <c r="U152" s="84"/>
      <c r="V152" s="84"/>
      <c r="W152" s="79"/>
      <c r="X152" s="26"/>
    </row>
    <row r="153" spans="1:24" ht="20.100000000000001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5"/>
      <c r="O153" s="2"/>
      <c r="P153" s="2"/>
      <c r="Q153" s="2"/>
      <c r="R153" s="2"/>
      <c r="S153" s="2"/>
      <c r="T153" s="2"/>
      <c r="U153" s="84"/>
      <c r="V153" s="84"/>
      <c r="W153" s="79"/>
      <c r="X153" s="26"/>
    </row>
    <row r="154" spans="1:24" ht="20.100000000000001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5"/>
      <c r="O154" s="2"/>
      <c r="P154" s="2"/>
      <c r="Q154" s="2"/>
      <c r="R154" s="2"/>
      <c r="S154" s="2"/>
      <c r="T154" s="2"/>
      <c r="U154" s="84"/>
      <c r="V154" s="84"/>
      <c r="W154" s="79"/>
      <c r="X154" s="26"/>
    </row>
    <row r="155" spans="1:24" ht="20.100000000000001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5"/>
      <c r="O155" s="2"/>
      <c r="P155" s="2"/>
      <c r="Q155" s="2"/>
      <c r="R155" s="2"/>
      <c r="S155" s="2"/>
      <c r="T155" s="2"/>
      <c r="U155" s="84"/>
      <c r="V155" s="84"/>
      <c r="W155" s="79"/>
      <c r="X155" s="26"/>
    </row>
    <row r="156" spans="1:24" ht="20.100000000000001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5"/>
      <c r="O156" s="2"/>
      <c r="P156" s="2"/>
      <c r="Q156" s="2"/>
      <c r="R156" s="2"/>
      <c r="S156" s="2"/>
      <c r="T156" s="2"/>
      <c r="U156" s="84"/>
      <c r="V156" s="84"/>
      <c r="W156" s="79"/>
      <c r="X156" s="26"/>
    </row>
    <row r="157" spans="1:24" ht="20.100000000000001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5"/>
      <c r="O157" s="2"/>
      <c r="P157" s="2"/>
      <c r="Q157" s="2"/>
      <c r="R157" s="2"/>
      <c r="S157" s="2"/>
      <c r="T157" s="2"/>
      <c r="U157" s="84"/>
      <c r="V157" s="84"/>
      <c r="W157" s="79"/>
      <c r="X157" s="26"/>
    </row>
    <row r="158" spans="1:24" ht="20.100000000000001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5"/>
      <c r="O158" s="2"/>
      <c r="P158" s="2"/>
      <c r="Q158" s="2"/>
      <c r="R158" s="2"/>
      <c r="S158" s="2"/>
      <c r="T158" s="2"/>
      <c r="U158" s="84"/>
      <c r="V158" s="84"/>
      <c r="W158" s="79"/>
      <c r="X158" s="26"/>
    </row>
    <row r="159" spans="1:24" ht="20.100000000000001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5"/>
      <c r="O159" s="2"/>
      <c r="P159" s="2"/>
      <c r="Q159" s="2"/>
      <c r="R159" s="2"/>
      <c r="S159" s="2"/>
      <c r="T159" s="2"/>
      <c r="U159" s="84"/>
      <c r="V159" s="84"/>
      <c r="W159" s="79"/>
      <c r="X159" s="26"/>
    </row>
    <row r="160" spans="1:24" ht="20.100000000000001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5"/>
      <c r="O160" s="2"/>
      <c r="P160" s="2"/>
      <c r="Q160" s="2"/>
      <c r="R160" s="2"/>
      <c r="S160" s="2"/>
      <c r="T160" s="2"/>
      <c r="U160" s="84"/>
      <c r="V160" s="84"/>
      <c r="W160" s="79"/>
      <c r="X160" s="26"/>
    </row>
    <row r="161" spans="1:24" ht="20.100000000000001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5"/>
      <c r="O161" s="2"/>
      <c r="P161" s="2"/>
      <c r="Q161" s="2"/>
      <c r="R161" s="2"/>
      <c r="S161" s="2"/>
      <c r="T161" s="2"/>
      <c r="U161" s="84"/>
      <c r="V161" s="84"/>
      <c r="W161" s="79"/>
      <c r="X161" s="26"/>
    </row>
    <row r="162" spans="1:24" ht="20.100000000000001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5"/>
      <c r="O162" s="2"/>
      <c r="P162" s="2"/>
      <c r="Q162" s="2"/>
      <c r="R162" s="2"/>
      <c r="S162" s="2"/>
      <c r="T162" s="2"/>
      <c r="U162" s="84"/>
      <c r="V162" s="84"/>
      <c r="W162" s="79"/>
      <c r="X162" s="26"/>
    </row>
    <row r="163" spans="1:24" ht="20.100000000000001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5"/>
      <c r="O163" s="2"/>
      <c r="P163" s="2"/>
      <c r="Q163" s="2"/>
      <c r="R163" s="2"/>
      <c r="S163" s="2"/>
      <c r="T163" s="2"/>
      <c r="U163" s="84"/>
      <c r="V163" s="84"/>
      <c r="W163" s="79"/>
      <c r="X163" s="26"/>
    </row>
    <row r="164" spans="1:24" ht="20.100000000000001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5"/>
      <c r="O164" s="2"/>
      <c r="P164" s="2"/>
      <c r="Q164" s="2"/>
      <c r="R164" s="2"/>
      <c r="S164" s="2"/>
      <c r="T164" s="2"/>
      <c r="U164" s="84"/>
      <c r="V164" s="84"/>
      <c r="W164" s="79"/>
      <c r="X164" s="26"/>
    </row>
    <row r="165" spans="1:24" ht="20.100000000000001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5"/>
      <c r="O165" s="2"/>
      <c r="P165" s="2"/>
      <c r="Q165" s="2"/>
      <c r="R165" s="2"/>
      <c r="S165" s="2"/>
      <c r="T165" s="2"/>
      <c r="U165" s="84"/>
      <c r="V165" s="84"/>
      <c r="W165" s="79"/>
      <c r="X165" s="26"/>
    </row>
    <row r="166" spans="1:24" ht="20.100000000000001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5"/>
      <c r="O166" s="2"/>
      <c r="P166" s="2"/>
      <c r="Q166" s="2"/>
      <c r="R166" s="2"/>
      <c r="S166" s="2"/>
      <c r="T166" s="2"/>
      <c r="U166" s="84"/>
      <c r="V166" s="84"/>
      <c r="W166" s="79"/>
      <c r="X166" s="26"/>
    </row>
    <row r="167" spans="1:24" ht="20.100000000000001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5"/>
      <c r="O167" s="2"/>
      <c r="P167" s="2"/>
      <c r="Q167" s="2"/>
      <c r="R167" s="2"/>
      <c r="S167" s="2"/>
      <c r="T167" s="2"/>
      <c r="U167" s="84"/>
      <c r="V167" s="84"/>
      <c r="W167" s="79"/>
      <c r="X167" s="26"/>
    </row>
    <row r="168" spans="1:24" ht="20.100000000000001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5"/>
      <c r="O168" s="2"/>
      <c r="P168" s="2"/>
      <c r="Q168" s="2"/>
      <c r="R168" s="2"/>
      <c r="S168" s="2"/>
      <c r="T168" s="2"/>
      <c r="U168" s="84"/>
      <c r="V168" s="84"/>
      <c r="W168" s="79"/>
      <c r="X168" s="26"/>
    </row>
    <row r="169" spans="1:24" ht="20.100000000000001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5"/>
      <c r="O169" s="2"/>
      <c r="P169" s="2"/>
      <c r="Q169" s="2"/>
      <c r="R169" s="2"/>
      <c r="S169" s="2"/>
      <c r="T169" s="2"/>
      <c r="U169" s="84"/>
      <c r="V169" s="84"/>
      <c r="W169" s="79"/>
      <c r="X169" s="26"/>
    </row>
    <row r="170" spans="1:24" ht="20.100000000000001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5"/>
      <c r="O170" s="2"/>
      <c r="P170" s="2"/>
      <c r="Q170" s="2"/>
      <c r="R170" s="2"/>
      <c r="S170" s="2"/>
      <c r="T170" s="2"/>
      <c r="U170" s="84"/>
      <c r="V170" s="84"/>
      <c r="W170" s="79"/>
      <c r="X170" s="26"/>
    </row>
    <row r="171" spans="1:24" ht="20.100000000000001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5"/>
      <c r="O171" s="2"/>
      <c r="P171" s="2"/>
      <c r="Q171" s="2"/>
      <c r="R171" s="2"/>
      <c r="S171" s="2"/>
      <c r="T171" s="2"/>
      <c r="U171" s="84"/>
      <c r="V171" s="84"/>
      <c r="W171" s="79"/>
      <c r="X171" s="26"/>
    </row>
    <row r="172" spans="1:24" ht="20.100000000000001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5"/>
      <c r="O172" s="2"/>
      <c r="P172" s="2"/>
      <c r="Q172" s="2"/>
      <c r="R172" s="2"/>
      <c r="S172" s="2"/>
      <c r="T172" s="2"/>
      <c r="U172" s="84"/>
      <c r="V172" s="84"/>
      <c r="W172" s="79"/>
      <c r="X172" s="26"/>
    </row>
    <row r="173" spans="1:24" ht="20.100000000000001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5"/>
      <c r="O173" s="2"/>
      <c r="P173" s="2"/>
      <c r="Q173" s="2"/>
      <c r="R173" s="2"/>
      <c r="S173" s="2"/>
      <c r="T173" s="2"/>
      <c r="U173" s="84"/>
      <c r="V173" s="84"/>
      <c r="W173" s="79"/>
      <c r="X173" s="26"/>
    </row>
    <row r="174" spans="1:24" ht="20.100000000000001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5"/>
      <c r="O174" s="2"/>
      <c r="P174" s="2"/>
      <c r="Q174" s="2"/>
      <c r="R174" s="2"/>
      <c r="S174" s="2"/>
      <c r="T174" s="2"/>
      <c r="U174" s="84"/>
      <c r="V174" s="84"/>
      <c r="W174" s="79"/>
      <c r="X174" s="26"/>
    </row>
    <row r="175" spans="1:24" ht="20.100000000000001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5"/>
      <c r="O175" s="2"/>
      <c r="P175" s="2"/>
      <c r="Q175" s="2"/>
      <c r="R175" s="2"/>
      <c r="S175" s="2"/>
      <c r="T175" s="2"/>
      <c r="U175" s="84"/>
      <c r="V175" s="84"/>
      <c r="W175" s="79"/>
      <c r="X175" s="26"/>
    </row>
    <row r="176" spans="1:24" ht="20.100000000000001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5"/>
      <c r="O176" s="2"/>
      <c r="P176" s="2"/>
      <c r="Q176" s="2"/>
      <c r="R176" s="2"/>
      <c r="S176" s="2"/>
      <c r="T176" s="2"/>
      <c r="U176" s="84"/>
      <c r="V176" s="84"/>
      <c r="W176" s="79"/>
      <c r="X176" s="26"/>
    </row>
    <row r="177" spans="1:24" ht="20.100000000000001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5"/>
      <c r="O177" s="2"/>
      <c r="P177" s="2"/>
      <c r="Q177" s="2"/>
      <c r="R177" s="2"/>
      <c r="S177" s="2"/>
      <c r="T177" s="2"/>
      <c r="U177" s="84"/>
      <c r="V177" s="84"/>
      <c r="W177" s="79"/>
      <c r="X177" s="26"/>
    </row>
    <row r="178" spans="1:24" ht="20.100000000000001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5"/>
      <c r="O178" s="2"/>
      <c r="P178" s="2"/>
      <c r="Q178" s="2"/>
      <c r="R178" s="2"/>
      <c r="S178" s="2"/>
      <c r="T178" s="2"/>
      <c r="U178" s="84"/>
      <c r="V178" s="84"/>
      <c r="W178" s="79"/>
      <c r="X178" s="26"/>
    </row>
    <row r="179" spans="1:24" ht="20.100000000000001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5"/>
      <c r="O179" s="2"/>
      <c r="P179" s="2"/>
      <c r="Q179" s="2"/>
      <c r="R179" s="2"/>
      <c r="S179" s="2"/>
      <c r="T179" s="2"/>
      <c r="U179" s="84"/>
      <c r="V179" s="84"/>
      <c r="W179" s="79"/>
      <c r="X179" s="26"/>
    </row>
    <row r="180" spans="1:24" ht="20.100000000000001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5"/>
      <c r="O180" s="2"/>
      <c r="P180" s="2"/>
      <c r="Q180" s="2"/>
      <c r="R180" s="2"/>
      <c r="S180" s="2"/>
      <c r="T180" s="2"/>
      <c r="U180" s="84"/>
      <c r="V180" s="84"/>
      <c r="W180" s="79"/>
      <c r="X180" s="26"/>
    </row>
    <row r="181" spans="1:24" ht="20.100000000000001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5"/>
      <c r="O181" s="2"/>
      <c r="P181" s="2"/>
      <c r="Q181" s="2"/>
      <c r="R181" s="2"/>
      <c r="S181" s="2"/>
      <c r="T181" s="2"/>
      <c r="U181" s="84"/>
      <c r="V181" s="84"/>
      <c r="W181" s="79"/>
      <c r="X181" s="26"/>
    </row>
    <row r="182" spans="1:24" ht="20.100000000000001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5"/>
      <c r="O182" s="2"/>
      <c r="P182" s="2"/>
      <c r="Q182" s="2"/>
      <c r="R182" s="2"/>
      <c r="S182" s="2"/>
      <c r="T182" s="2"/>
      <c r="U182" s="84"/>
      <c r="V182" s="84"/>
      <c r="W182" s="79"/>
      <c r="X182" s="26"/>
    </row>
    <row r="183" spans="1:24" ht="20.100000000000001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5"/>
      <c r="O183" s="2"/>
      <c r="P183" s="2"/>
      <c r="Q183" s="2"/>
      <c r="R183" s="2"/>
      <c r="S183" s="2"/>
      <c r="T183" s="2"/>
      <c r="U183" s="84"/>
      <c r="V183" s="84"/>
      <c r="W183" s="79"/>
      <c r="X183" s="26"/>
    </row>
    <row r="184" spans="1:24" ht="20.100000000000001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5"/>
      <c r="O184" s="2"/>
      <c r="P184" s="2"/>
      <c r="Q184" s="2"/>
      <c r="R184" s="2"/>
      <c r="S184" s="2"/>
      <c r="T184" s="2"/>
      <c r="U184" s="84"/>
      <c r="V184" s="84"/>
      <c r="W184" s="79"/>
      <c r="X184" s="26"/>
    </row>
    <row r="185" spans="1:24" ht="20.100000000000001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5"/>
      <c r="O185" s="2"/>
      <c r="P185" s="2"/>
      <c r="Q185" s="2"/>
      <c r="R185" s="2"/>
      <c r="S185" s="2"/>
      <c r="T185" s="2"/>
      <c r="U185" s="84"/>
      <c r="V185" s="84"/>
      <c r="W185" s="79"/>
      <c r="X185" s="26"/>
    </row>
    <row r="186" spans="1:24" ht="20.100000000000001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5"/>
      <c r="O186" s="2"/>
      <c r="P186" s="2"/>
      <c r="Q186" s="2"/>
      <c r="R186" s="2"/>
      <c r="S186" s="2"/>
      <c r="T186" s="2"/>
      <c r="U186" s="84"/>
      <c r="V186" s="84"/>
      <c r="W186" s="79"/>
      <c r="X186" s="26"/>
    </row>
    <row r="187" spans="1:24" ht="20.100000000000001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5"/>
      <c r="O187" s="2"/>
      <c r="P187" s="2"/>
      <c r="Q187" s="2"/>
      <c r="R187" s="2"/>
      <c r="S187" s="2"/>
      <c r="T187" s="2"/>
      <c r="U187" s="84"/>
      <c r="V187" s="84"/>
      <c r="W187" s="79"/>
      <c r="X187" s="26"/>
    </row>
    <row r="188" spans="1:24" ht="20.100000000000001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5"/>
      <c r="O188" s="2"/>
      <c r="P188" s="2"/>
      <c r="Q188" s="2"/>
      <c r="R188" s="2"/>
      <c r="S188" s="2"/>
      <c r="T188" s="2"/>
      <c r="U188" s="84"/>
      <c r="V188" s="84"/>
      <c r="W188" s="79"/>
      <c r="X188" s="26"/>
    </row>
    <row r="189" spans="1:24" ht="20.100000000000001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5"/>
      <c r="O189" s="2"/>
      <c r="P189" s="2"/>
      <c r="Q189" s="2"/>
      <c r="R189" s="2"/>
      <c r="S189" s="2"/>
      <c r="T189" s="2"/>
      <c r="U189" s="84"/>
      <c r="V189" s="84"/>
      <c r="W189" s="79"/>
      <c r="X189" s="26"/>
    </row>
    <row r="190" spans="1:24" ht="20.100000000000001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5"/>
      <c r="O190" s="2"/>
      <c r="P190" s="2"/>
      <c r="Q190" s="2"/>
      <c r="R190" s="2"/>
      <c r="S190" s="2"/>
      <c r="T190" s="2"/>
      <c r="U190" s="84"/>
      <c r="V190" s="84"/>
      <c r="W190" s="79"/>
      <c r="X190" s="26"/>
    </row>
    <row r="191" spans="1:24" ht="20.100000000000001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5"/>
      <c r="O191" s="2"/>
      <c r="P191" s="2"/>
      <c r="Q191" s="2"/>
      <c r="R191" s="2"/>
      <c r="S191" s="2"/>
      <c r="T191" s="2"/>
      <c r="U191" s="84"/>
      <c r="V191" s="84"/>
      <c r="W191" s="79"/>
      <c r="X191" s="26"/>
    </row>
    <row r="192" spans="1:24" ht="20.100000000000001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5"/>
      <c r="O192" s="2"/>
      <c r="P192" s="2"/>
      <c r="Q192" s="2"/>
      <c r="R192" s="2"/>
      <c r="S192" s="2"/>
      <c r="T192" s="2"/>
      <c r="U192" s="84"/>
      <c r="V192" s="84"/>
      <c r="W192" s="79"/>
      <c r="X192" s="26"/>
    </row>
    <row r="193" spans="1:24" ht="20.100000000000001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5"/>
      <c r="O193" s="2"/>
      <c r="P193" s="2"/>
      <c r="Q193" s="2"/>
      <c r="R193" s="2"/>
      <c r="S193" s="2"/>
      <c r="T193" s="2"/>
      <c r="U193" s="84"/>
      <c r="V193" s="84"/>
      <c r="W193" s="79"/>
      <c r="X193" s="26"/>
    </row>
    <row r="194" spans="1:24" ht="20.100000000000001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5"/>
      <c r="O194" s="2"/>
      <c r="P194" s="2"/>
      <c r="Q194" s="2"/>
      <c r="R194" s="2"/>
      <c r="S194" s="2"/>
      <c r="T194" s="2"/>
      <c r="U194" s="84"/>
      <c r="V194" s="84"/>
      <c r="W194" s="79"/>
      <c r="X194" s="26"/>
    </row>
    <row r="195" spans="1:24" ht="20.100000000000001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5"/>
      <c r="O195" s="2"/>
      <c r="P195" s="2"/>
      <c r="Q195" s="2"/>
      <c r="R195" s="2"/>
      <c r="S195" s="2"/>
      <c r="T195" s="2"/>
      <c r="U195" s="84"/>
      <c r="V195" s="84"/>
      <c r="W195" s="79"/>
      <c r="X195" s="26"/>
    </row>
    <row r="196" spans="1:24" ht="20.100000000000001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5"/>
      <c r="O196" s="2"/>
      <c r="P196" s="2"/>
      <c r="Q196" s="2"/>
      <c r="R196" s="2"/>
      <c r="S196" s="2"/>
      <c r="T196" s="2"/>
      <c r="U196" s="84"/>
      <c r="V196" s="84"/>
      <c r="W196" s="79"/>
      <c r="X196" s="26"/>
    </row>
    <row r="197" spans="1:24" ht="20.100000000000001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5"/>
      <c r="O197" s="2"/>
      <c r="P197" s="2"/>
      <c r="Q197" s="2"/>
      <c r="R197" s="2"/>
      <c r="S197" s="2"/>
      <c r="T197" s="2"/>
      <c r="U197" s="84"/>
      <c r="V197" s="84"/>
      <c r="W197" s="79"/>
      <c r="X197" s="26"/>
    </row>
    <row r="198" spans="1:24" ht="20.100000000000001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5"/>
      <c r="O198" s="2"/>
      <c r="P198" s="2"/>
      <c r="Q198" s="2"/>
      <c r="R198" s="2"/>
      <c r="S198" s="2"/>
      <c r="T198" s="2"/>
      <c r="U198" s="84"/>
      <c r="V198" s="84"/>
      <c r="W198" s="79"/>
      <c r="X198" s="26"/>
    </row>
    <row r="199" spans="1:24" ht="20.100000000000001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5"/>
      <c r="O199" s="2"/>
      <c r="P199" s="2"/>
      <c r="Q199" s="2"/>
      <c r="R199" s="2"/>
      <c r="S199" s="2"/>
      <c r="T199" s="2"/>
      <c r="U199" s="84"/>
      <c r="V199" s="84"/>
      <c r="W199" s="79"/>
      <c r="X199" s="26"/>
    </row>
    <row r="200" spans="1:24" ht="20.100000000000001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5"/>
      <c r="O200" s="2"/>
      <c r="P200" s="2"/>
      <c r="Q200" s="2"/>
      <c r="R200" s="2"/>
      <c r="S200" s="2"/>
      <c r="T200" s="2"/>
      <c r="U200" s="84"/>
      <c r="V200" s="84"/>
      <c r="W200" s="79"/>
      <c r="X200" s="26"/>
    </row>
    <row r="201" spans="1:24" ht="20.100000000000001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5"/>
      <c r="O201" s="2"/>
      <c r="P201" s="2"/>
      <c r="Q201" s="2"/>
      <c r="R201" s="2"/>
      <c r="S201" s="2"/>
      <c r="T201" s="2"/>
      <c r="U201" s="84"/>
      <c r="V201" s="84"/>
      <c r="W201" s="79"/>
      <c r="X201" s="26"/>
    </row>
    <row r="202" spans="1:24" ht="20.100000000000001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5"/>
      <c r="O202" s="2"/>
      <c r="P202" s="2"/>
      <c r="Q202" s="2"/>
      <c r="R202" s="2"/>
      <c r="S202" s="2"/>
      <c r="T202" s="2"/>
      <c r="U202" s="84"/>
      <c r="V202" s="84"/>
      <c r="W202" s="79"/>
      <c r="X202" s="26"/>
    </row>
    <row r="203" spans="1:24" ht="20.100000000000001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5"/>
      <c r="O203" s="2"/>
      <c r="P203" s="2"/>
      <c r="Q203" s="2"/>
      <c r="R203" s="2"/>
      <c r="S203" s="2"/>
      <c r="T203" s="2"/>
      <c r="U203" s="84"/>
      <c r="V203" s="84"/>
      <c r="W203" s="79"/>
      <c r="X203" s="26"/>
    </row>
    <row r="204" spans="1:24" ht="20.100000000000001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5"/>
      <c r="O204" s="2"/>
      <c r="P204" s="2"/>
      <c r="Q204" s="2"/>
      <c r="R204" s="2"/>
      <c r="S204" s="2"/>
      <c r="T204" s="2"/>
      <c r="U204" s="84"/>
      <c r="V204" s="84"/>
      <c r="W204" s="79"/>
      <c r="X204" s="26"/>
    </row>
    <row r="205" spans="1:24" ht="20.100000000000001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5"/>
      <c r="O205" s="2"/>
      <c r="P205" s="2"/>
      <c r="Q205" s="2"/>
      <c r="R205" s="2"/>
      <c r="S205" s="2"/>
      <c r="T205" s="2"/>
      <c r="U205" s="84"/>
      <c r="V205" s="84"/>
      <c r="W205" s="79"/>
      <c r="X205" s="26"/>
    </row>
    <row r="206" spans="1:24" ht="20.100000000000001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5"/>
      <c r="O206" s="2"/>
      <c r="P206" s="2"/>
      <c r="Q206" s="2"/>
      <c r="R206" s="2"/>
      <c r="S206" s="2"/>
      <c r="T206" s="2"/>
      <c r="U206" s="84"/>
      <c r="V206" s="84"/>
      <c r="W206" s="79"/>
      <c r="X206" s="26"/>
    </row>
    <row r="207" spans="1:24" ht="20.100000000000001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5"/>
      <c r="O207" s="2"/>
      <c r="P207" s="2"/>
      <c r="Q207" s="2"/>
      <c r="R207" s="2"/>
      <c r="S207" s="2"/>
      <c r="T207" s="2"/>
      <c r="U207" s="84"/>
      <c r="V207" s="84"/>
      <c r="W207" s="79"/>
      <c r="X207" s="26"/>
    </row>
    <row r="208" spans="1:24" ht="20.100000000000001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5"/>
      <c r="O208" s="2"/>
      <c r="P208" s="2"/>
      <c r="Q208" s="2"/>
      <c r="R208" s="2"/>
      <c r="S208" s="2"/>
      <c r="T208" s="2"/>
      <c r="U208" s="84"/>
      <c r="V208" s="84"/>
      <c r="W208" s="79"/>
      <c r="X208" s="26"/>
    </row>
    <row r="209" spans="1:24" ht="20.100000000000001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5"/>
      <c r="O209" s="2"/>
      <c r="P209" s="2"/>
      <c r="Q209" s="2"/>
      <c r="R209" s="2"/>
      <c r="S209" s="2"/>
      <c r="T209" s="2"/>
      <c r="U209" s="84"/>
      <c r="V209" s="84"/>
      <c r="W209" s="79"/>
      <c r="X209" s="26"/>
    </row>
    <row r="210" spans="1:24" ht="20.100000000000001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5"/>
      <c r="O210" s="2"/>
      <c r="P210" s="2"/>
      <c r="Q210" s="2"/>
      <c r="R210" s="2"/>
      <c r="S210" s="2"/>
      <c r="T210" s="2"/>
      <c r="U210" s="84"/>
      <c r="V210" s="84"/>
      <c r="W210" s="79"/>
      <c r="X210" s="26"/>
    </row>
    <row r="211" spans="1:24" ht="20.100000000000001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5"/>
      <c r="O211" s="2"/>
      <c r="P211" s="2"/>
      <c r="Q211" s="2"/>
      <c r="R211" s="2"/>
      <c r="S211" s="2"/>
      <c r="T211" s="2"/>
      <c r="U211" s="84"/>
      <c r="V211" s="84"/>
      <c r="W211" s="79"/>
      <c r="X211" s="26"/>
    </row>
    <row r="212" spans="1:24" ht="20.100000000000001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5"/>
      <c r="O212" s="2"/>
      <c r="P212" s="2"/>
      <c r="Q212" s="2"/>
      <c r="R212" s="2"/>
      <c r="S212" s="2"/>
      <c r="T212" s="2"/>
      <c r="U212" s="84"/>
      <c r="V212" s="84"/>
      <c r="W212" s="79"/>
      <c r="X212" s="26"/>
    </row>
    <row r="213" spans="1:24" ht="20.100000000000001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5"/>
      <c r="O213" s="2"/>
      <c r="P213" s="2"/>
      <c r="Q213" s="2"/>
      <c r="R213" s="2"/>
      <c r="S213" s="2"/>
      <c r="T213" s="2"/>
      <c r="U213" s="84"/>
      <c r="V213" s="84"/>
      <c r="W213" s="79"/>
      <c r="X213" s="26"/>
    </row>
    <row r="214" spans="1:24" ht="20.100000000000001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5"/>
      <c r="O214" s="2"/>
      <c r="P214" s="2"/>
      <c r="Q214" s="2"/>
      <c r="R214" s="2"/>
      <c r="S214" s="2"/>
      <c r="T214" s="2"/>
      <c r="U214" s="84"/>
      <c r="V214" s="84"/>
      <c r="W214" s="79"/>
      <c r="X214" s="26"/>
    </row>
    <row r="215" spans="1:24" ht="20.100000000000001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5"/>
      <c r="O215" s="2"/>
      <c r="P215" s="2"/>
      <c r="Q215" s="2"/>
      <c r="R215" s="2"/>
      <c r="S215" s="2"/>
      <c r="T215" s="2"/>
      <c r="U215" s="84"/>
      <c r="V215" s="84"/>
      <c r="W215" s="79"/>
      <c r="X215" s="26"/>
    </row>
    <row r="216" spans="1:24" ht="20.100000000000001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5"/>
      <c r="O216" s="2"/>
      <c r="P216" s="2"/>
      <c r="Q216" s="2"/>
      <c r="R216" s="2"/>
      <c r="S216" s="2"/>
      <c r="T216" s="2"/>
      <c r="U216" s="84"/>
      <c r="V216" s="84"/>
      <c r="W216" s="79"/>
      <c r="X216" s="26"/>
    </row>
    <row r="217" spans="1:24" ht="20.100000000000001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5"/>
      <c r="O217" s="2"/>
      <c r="P217" s="2"/>
      <c r="Q217" s="2"/>
      <c r="R217" s="2"/>
      <c r="S217" s="2"/>
      <c r="T217" s="2"/>
      <c r="U217" s="84"/>
      <c r="V217" s="84"/>
      <c r="W217" s="79"/>
      <c r="X217" s="26"/>
    </row>
    <row r="218" spans="1:24" ht="20.100000000000001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5"/>
      <c r="O218" s="2"/>
      <c r="P218" s="2"/>
      <c r="Q218" s="2"/>
      <c r="R218" s="2"/>
      <c r="S218" s="2"/>
      <c r="T218" s="2"/>
      <c r="U218" s="84"/>
      <c r="V218" s="84"/>
      <c r="W218" s="79"/>
      <c r="X218" s="26"/>
    </row>
    <row r="219" spans="1:24" ht="20.100000000000001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5"/>
      <c r="O219" s="2"/>
      <c r="P219" s="2"/>
      <c r="Q219" s="2"/>
      <c r="R219" s="2"/>
      <c r="S219" s="2"/>
      <c r="T219" s="2"/>
      <c r="U219" s="84"/>
      <c r="V219" s="84"/>
      <c r="W219" s="79"/>
      <c r="X219" s="26"/>
    </row>
    <row r="220" spans="1:24" ht="20.100000000000001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5"/>
      <c r="O220" s="2"/>
      <c r="P220" s="2"/>
      <c r="Q220" s="2"/>
      <c r="R220" s="2"/>
      <c r="S220" s="2"/>
      <c r="T220" s="2"/>
      <c r="U220" s="84"/>
      <c r="V220" s="84"/>
      <c r="W220" s="79"/>
      <c r="X220" s="26"/>
    </row>
    <row r="221" spans="1:24" ht="20.100000000000001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5"/>
      <c r="O221" s="2"/>
      <c r="P221" s="2"/>
      <c r="Q221" s="2"/>
      <c r="R221" s="2"/>
      <c r="S221" s="2"/>
      <c r="T221" s="2"/>
      <c r="U221" s="84"/>
      <c r="V221" s="84"/>
      <c r="W221" s="79"/>
      <c r="X221" s="26"/>
    </row>
    <row r="222" spans="1:24" ht="20.100000000000001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5"/>
      <c r="O222" s="2"/>
      <c r="P222" s="2"/>
      <c r="Q222" s="2"/>
      <c r="R222" s="2"/>
      <c r="S222" s="2"/>
      <c r="T222" s="2"/>
      <c r="U222" s="84"/>
      <c r="V222" s="84"/>
      <c r="W222" s="79"/>
      <c r="X222" s="26"/>
    </row>
    <row r="223" spans="1:24" ht="20.100000000000001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5"/>
      <c r="O223" s="2"/>
      <c r="P223" s="2"/>
      <c r="Q223" s="2"/>
      <c r="R223" s="2"/>
      <c r="S223" s="2"/>
      <c r="T223" s="2"/>
      <c r="U223" s="84"/>
      <c r="V223" s="84"/>
      <c r="W223" s="79"/>
      <c r="X223" s="26"/>
    </row>
    <row r="224" spans="1:24" ht="20.100000000000001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5"/>
      <c r="O224" s="2"/>
      <c r="P224" s="2"/>
      <c r="Q224" s="2"/>
      <c r="R224" s="2"/>
      <c r="S224" s="2"/>
      <c r="T224" s="2"/>
      <c r="U224" s="84"/>
      <c r="V224" s="84"/>
      <c r="W224" s="79"/>
      <c r="X224" s="26"/>
    </row>
    <row r="225" spans="1:24" ht="20.100000000000001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5"/>
      <c r="O225" s="2"/>
      <c r="P225" s="2"/>
      <c r="Q225" s="2"/>
      <c r="R225" s="2"/>
      <c r="S225" s="2"/>
      <c r="T225" s="2"/>
      <c r="U225" s="84"/>
      <c r="V225" s="84"/>
      <c r="W225" s="79"/>
      <c r="X225" s="26"/>
    </row>
    <row r="226" spans="1:24" ht="20.100000000000001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5"/>
      <c r="O226" s="2"/>
      <c r="P226" s="2"/>
      <c r="Q226" s="2"/>
      <c r="R226" s="2"/>
      <c r="S226" s="2"/>
      <c r="T226" s="2"/>
      <c r="U226" s="84"/>
      <c r="V226" s="84"/>
      <c r="W226" s="79"/>
      <c r="X226" s="26"/>
    </row>
    <row r="227" spans="1:24" ht="20.100000000000001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5"/>
      <c r="O227" s="2"/>
      <c r="P227" s="2"/>
      <c r="Q227" s="2"/>
      <c r="R227" s="2"/>
      <c r="S227" s="2"/>
      <c r="T227" s="2"/>
      <c r="U227" s="84"/>
      <c r="V227" s="84"/>
      <c r="W227" s="79"/>
      <c r="X227" s="26"/>
    </row>
    <row r="228" spans="1:24" ht="20.100000000000001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5"/>
      <c r="O228" s="2"/>
      <c r="P228" s="2"/>
      <c r="Q228" s="2"/>
      <c r="R228" s="2"/>
      <c r="S228" s="2"/>
      <c r="T228" s="2"/>
      <c r="U228" s="84"/>
      <c r="V228" s="84"/>
      <c r="W228" s="79"/>
      <c r="X228" s="26"/>
    </row>
    <row r="229" spans="1:24" ht="20.100000000000001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5"/>
      <c r="O229" s="2"/>
      <c r="P229" s="2"/>
      <c r="Q229" s="2"/>
      <c r="R229" s="2"/>
      <c r="S229" s="2"/>
      <c r="T229" s="2"/>
      <c r="U229" s="84"/>
      <c r="V229" s="84"/>
      <c r="W229" s="79"/>
      <c r="X229" s="26"/>
    </row>
    <row r="230" spans="1:24" ht="20.100000000000001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5"/>
      <c r="O230" s="2"/>
      <c r="P230" s="2"/>
      <c r="Q230" s="2"/>
      <c r="R230" s="2"/>
      <c r="S230" s="2"/>
      <c r="T230" s="2"/>
      <c r="U230" s="84"/>
      <c r="V230" s="84"/>
      <c r="W230" s="79"/>
      <c r="X230" s="26"/>
    </row>
    <row r="231" spans="1:24" ht="20.100000000000001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5"/>
      <c r="O231" s="2"/>
      <c r="P231" s="2"/>
      <c r="Q231" s="2"/>
      <c r="R231" s="2"/>
      <c r="S231" s="2"/>
      <c r="T231" s="2"/>
      <c r="U231" s="84"/>
      <c r="V231" s="84"/>
      <c r="W231" s="79"/>
      <c r="X231" s="26"/>
    </row>
    <row r="232" spans="1:24" ht="20.100000000000001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5"/>
      <c r="O232" s="2"/>
      <c r="P232" s="2"/>
      <c r="Q232" s="2"/>
      <c r="R232" s="2"/>
      <c r="S232" s="2"/>
      <c r="T232" s="2"/>
      <c r="U232" s="84"/>
      <c r="V232" s="84"/>
      <c r="W232" s="79"/>
      <c r="X232" s="26"/>
    </row>
    <row r="233" spans="1:24" ht="20.100000000000001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5"/>
      <c r="O233" s="2"/>
      <c r="P233" s="2"/>
      <c r="Q233" s="2"/>
      <c r="R233" s="2"/>
      <c r="S233" s="2"/>
      <c r="T233" s="2"/>
      <c r="U233" s="84"/>
      <c r="V233" s="84"/>
      <c r="W233" s="79"/>
      <c r="X233" s="26"/>
    </row>
    <row r="234" spans="1:24" ht="20.100000000000001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5"/>
      <c r="O234" s="2"/>
      <c r="P234" s="2"/>
      <c r="Q234" s="2"/>
      <c r="R234" s="2"/>
      <c r="S234" s="2"/>
      <c r="T234" s="2"/>
      <c r="U234" s="84"/>
      <c r="V234" s="84"/>
      <c r="W234" s="79"/>
      <c r="X234" s="26"/>
    </row>
    <row r="235" spans="1:24" ht="20.100000000000001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5"/>
      <c r="O235" s="2"/>
      <c r="P235" s="2"/>
      <c r="Q235" s="2"/>
      <c r="R235" s="2"/>
      <c r="S235" s="2"/>
      <c r="T235" s="2"/>
      <c r="U235" s="84"/>
      <c r="V235" s="84"/>
      <c r="W235" s="79"/>
      <c r="X235" s="26"/>
    </row>
    <row r="236" spans="1:24" ht="20.100000000000001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5"/>
      <c r="O236" s="2"/>
      <c r="P236" s="2"/>
      <c r="Q236" s="2"/>
      <c r="R236" s="2"/>
      <c r="S236" s="2"/>
      <c r="T236" s="2"/>
      <c r="U236" s="84"/>
      <c r="V236" s="84"/>
      <c r="W236" s="79"/>
      <c r="X236" s="26"/>
    </row>
    <row r="237" spans="1:24" ht="20.100000000000001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5"/>
      <c r="O237" s="2"/>
      <c r="P237" s="2"/>
      <c r="Q237" s="2"/>
      <c r="R237" s="2"/>
      <c r="S237" s="2"/>
      <c r="T237" s="2"/>
      <c r="U237" s="84"/>
      <c r="V237" s="84"/>
      <c r="W237" s="79"/>
      <c r="X237" s="26"/>
    </row>
    <row r="238" spans="1:24" ht="20.100000000000001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5"/>
      <c r="O238" s="2"/>
      <c r="P238" s="2"/>
      <c r="Q238" s="2"/>
      <c r="R238" s="2"/>
      <c r="S238" s="2"/>
      <c r="T238" s="2"/>
      <c r="U238" s="84"/>
      <c r="V238" s="84"/>
      <c r="W238" s="79"/>
      <c r="X238" s="26"/>
    </row>
    <row r="239" spans="1:24" ht="20.100000000000001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5"/>
      <c r="O239" s="2"/>
      <c r="P239" s="2"/>
      <c r="Q239" s="2"/>
      <c r="R239" s="2"/>
      <c r="S239" s="2"/>
      <c r="T239" s="2"/>
      <c r="U239" s="84"/>
      <c r="V239" s="84"/>
      <c r="W239" s="79"/>
      <c r="X239" s="26"/>
    </row>
    <row r="240" spans="1:24" ht="20.100000000000001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5"/>
      <c r="O240" s="2"/>
      <c r="P240" s="2"/>
      <c r="Q240" s="2"/>
      <c r="R240" s="2"/>
      <c r="S240" s="2"/>
      <c r="T240" s="2"/>
      <c r="U240" s="84"/>
      <c r="V240" s="84"/>
      <c r="W240" s="79"/>
      <c r="X240" s="26"/>
    </row>
    <row r="241" spans="1:24" ht="20.100000000000001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5"/>
      <c r="O241" s="2"/>
      <c r="P241" s="2"/>
      <c r="Q241" s="2"/>
      <c r="R241" s="2"/>
      <c r="S241" s="2"/>
      <c r="T241" s="2"/>
      <c r="U241" s="84"/>
      <c r="V241" s="84"/>
      <c r="W241" s="79"/>
      <c r="X241" s="26"/>
    </row>
    <row r="242" spans="1:24" ht="20.100000000000001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5"/>
      <c r="O242" s="2"/>
      <c r="P242" s="2"/>
      <c r="Q242" s="2"/>
      <c r="R242" s="2"/>
      <c r="S242" s="2"/>
      <c r="T242" s="2"/>
      <c r="U242" s="84"/>
      <c r="V242" s="84"/>
      <c r="W242" s="79"/>
      <c r="X242" s="26"/>
    </row>
    <row r="243" spans="1:24" ht="20.100000000000001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5"/>
      <c r="O243" s="2"/>
      <c r="P243" s="2"/>
      <c r="Q243" s="2"/>
      <c r="R243" s="2"/>
      <c r="S243" s="2"/>
      <c r="T243" s="2"/>
      <c r="U243" s="84"/>
      <c r="V243" s="84"/>
      <c r="W243" s="79"/>
      <c r="X243" s="26"/>
    </row>
    <row r="244" spans="1:24" ht="20.100000000000001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5"/>
      <c r="O244" s="2"/>
      <c r="P244" s="2"/>
      <c r="Q244" s="2"/>
      <c r="R244" s="2"/>
      <c r="S244" s="2"/>
      <c r="T244" s="2"/>
      <c r="U244" s="84"/>
      <c r="V244" s="84"/>
      <c r="W244" s="79"/>
      <c r="X244" s="26"/>
    </row>
    <row r="245" spans="1:24" ht="20.100000000000001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5"/>
      <c r="O245" s="2"/>
      <c r="P245" s="2"/>
      <c r="Q245" s="2"/>
      <c r="R245" s="2"/>
      <c r="S245" s="2"/>
      <c r="T245" s="2"/>
      <c r="U245" s="84"/>
      <c r="V245" s="84"/>
      <c r="W245" s="79"/>
      <c r="X245" s="26"/>
    </row>
    <row r="246" spans="1:24" ht="20.100000000000001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5"/>
      <c r="O246" s="2"/>
      <c r="P246" s="2"/>
      <c r="Q246" s="2"/>
      <c r="R246" s="2"/>
      <c r="S246" s="2"/>
      <c r="T246" s="2"/>
      <c r="U246" s="84"/>
      <c r="V246" s="84"/>
      <c r="W246" s="79"/>
      <c r="X246" s="26"/>
    </row>
    <row r="247" spans="1:24" ht="20.100000000000001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5"/>
      <c r="O247" s="2"/>
      <c r="P247" s="2"/>
      <c r="Q247" s="2"/>
      <c r="R247" s="2"/>
      <c r="S247" s="2"/>
      <c r="T247" s="2"/>
      <c r="U247" s="84"/>
      <c r="V247" s="84"/>
      <c r="W247" s="79"/>
      <c r="X247" s="26"/>
    </row>
    <row r="248" spans="1:24" ht="20.100000000000001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5"/>
      <c r="O248" s="2"/>
      <c r="P248" s="2"/>
      <c r="Q248" s="2"/>
      <c r="R248" s="2"/>
      <c r="S248" s="2"/>
      <c r="T248" s="2"/>
      <c r="U248" s="84"/>
      <c r="V248" s="84"/>
      <c r="W248" s="79"/>
      <c r="X248" s="26"/>
    </row>
    <row r="249" spans="1:24" ht="20.100000000000001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5"/>
      <c r="O249" s="2"/>
      <c r="P249" s="2"/>
      <c r="Q249" s="2"/>
      <c r="R249" s="2"/>
      <c r="S249" s="2"/>
      <c r="T249" s="2"/>
      <c r="U249" s="84"/>
      <c r="V249" s="84"/>
      <c r="W249" s="79"/>
      <c r="X249" s="26"/>
    </row>
    <row r="250" spans="1:24" ht="20.100000000000001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5"/>
      <c r="O250" s="2"/>
      <c r="P250" s="2"/>
      <c r="Q250" s="2"/>
      <c r="R250" s="2"/>
      <c r="S250" s="2"/>
      <c r="T250" s="2"/>
      <c r="U250" s="84"/>
      <c r="V250" s="84"/>
      <c r="W250" s="79"/>
      <c r="X250" s="26"/>
    </row>
    <row r="251" spans="1:24" ht="20.100000000000001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5"/>
      <c r="O251" s="2"/>
      <c r="P251" s="2"/>
      <c r="Q251" s="2"/>
      <c r="R251" s="2"/>
      <c r="S251" s="2"/>
      <c r="T251" s="2"/>
      <c r="U251" s="84"/>
      <c r="V251" s="84"/>
      <c r="W251" s="79"/>
      <c r="X251" s="26"/>
    </row>
    <row r="252" spans="1:24" ht="20.100000000000001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5"/>
      <c r="O252" s="2"/>
      <c r="P252" s="2"/>
      <c r="Q252" s="2"/>
      <c r="R252" s="2"/>
      <c r="S252" s="2"/>
      <c r="T252" s="2"/>
      <c r="U252" s="84"/>
      <c r="V252" s="84"/>
      <c r="W252" s="79"/>
      <c r="X252" s="26"/>
    </row>
    <row r="253" spans="1:24" ht="20.100000000000001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5"/>
      <c r="O253" s="2"/>
      <c r="P253" s="2"/>
      <c r="Q253" s="2"/>
      <c r="R253" s="2"/>
      <c r="S253" s="2"/>
      <c r="T253" s="2"/>
      <c r="U253" s="84"/>
      <c r="V253" s="84"/>
      <c r="W253" s="79"/>
      <c r="X253" s="26"/>
    </row>
    <row r="254" spans="1:24" ht="20.100000000000001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5"/>
      <c r="O254" s="2"/>
      <c r="P254" s="2"/>
      <c r="Q254" s="2"/>
      <c r="R254" s="2"/>
      <c r="S254" s="2"/>
      <c r="T254" s="2"/>
      <c r="U254" s="84"/>
      <c r="V254" s="84"/>
      <c r="W254" s="79"/>
      <c r="X254" s="26"/>
    </row>
    <row r="255" spans="1:24" ht="20.100000000000001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5"/>
      <c r="O255" s="2"/>
      <c r="P255" s="2"/>
      <c r="Q255" s="2"/>
      <c r="R255" s="2"/>
      <c r="S255" s="2"/>
      <c r="T255" s="2"/>
      <c r="U255" s="84"/>
      <c r="V255" s="84"/>
      <c r="W255" s="79"/>
      <c r="X255" s="26"/>
    </row>
    <row r="256" spans="1:24" ht="20.100000000000001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5"/>
      <c r="O256" s="2"/>
      <c r="P256" s="2"/>
      <c r="Q256" s="2"/>
      <c r="R256" s="2"/>
      <c r="S256" s="2"/>
      <c r="T256" s="2"/>
      <c r="U256" s="84"/>
      <c r="V256" s="84"/>
      <c r="W256" s="79"/>
      <c r="X256" s="26"/>
    </row>
    <row r="257" spans="1:24" ht="20.100000000000001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5"/>
      <c r="O257" s="2"/>
      <c r="P257" s="2"/>
      <c r="Q257" s="2"/>
      <c r="R257" s="2"/>
      <c r="S257" s="2"/>
      <c r="T257" s="2"/>
      <c r="U257" s="84"/>
      <c r="V257" s="84"/>
      <c r="W257" s="79"/>
      <c r="X257" s="26"/>
    </row>
    <row r="258" spans="1:24" ht="20.100000000000001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5"/>
      <c r="O258" s="2"/>
      <c r="P258" s="2"/>
      <c r="Q258" s="2"/>
      <c r="R258" s="2"/>
      <c r="S258" s="2"/>
      <c r="T258" s="2"/>
      <c r="U258" s="84"/>
      <c r="V258" s="84"/>
      <c r="W258" s="79"/>
      <c r="X258" s="26"/>
    </row>
    <row r="259" spans="1:24" ht="20.100000000000001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5"/>
      <c r="O259" s="2"/>
      <c r="P259" s="2"/>
      <c r="Q259" s="2"/>
      <c r="R259" s="2"/>
      <c r="S259" s="2"/>
      <c r="T259" s="2"/>
      <c r="U259" s="84"/>
      <c r="V259" s="84"/>
      <c r="W259" s="79"/>
      <c r="X259" s="26"/>
    </row>
    <row r="260" spans="1:24" ht="20.100000000000001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5"/>
      <c r="O260" s="2"/>
      <c r="P260" s="2"/>
      <c r="Q260" s="2"/>
      <c r="R260" s="2"/>
      <c r="S260" s="2"/>
      <c r="T260" s="2"/>
      <c r="U260" s="84"/>
      <c r="V260" s="84"/>
      <c r="W260" s="79"/>
      <c r="X260" s="26"/>
    </row>
    <row r="261" spans="1:24" ht="20.100000000000001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5"/>
      <c r="O261" s="2"/>
      <c r="P261" s="2"/>
      <c r="Q261" s="2"/>
      <c r="R261" s="2"/>
      <c r="S261" s="2"/>
      <c r="T261" s="2"/>
      <c r="U261" s="84"/>
      <c r="V261" s="84"/>
      <c r="W261" s="79"/>
      <c r="X261" s="26"/>
    </row>
    <row r="262" spans="1:24" ht="20.100000000000001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5"/>
      <c r="O262" s="2"/>
      <c r="P262" s="2"/>
      <c r="Q262" s="2"/>
      <c r="R262" s="2"/>
      <c r="S262" s="2"/>
      <c r="T262" s="2"/>
      <c r="U262" s="84"/>
      <c r="V262" s="84"/>
      <c r="W262" s="79"/>
      <c r="X262" s="26"/>
    </row>
    <row r="263" spans="1:24" ht="20.100000000000001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5"/>
      <c r="O263" s="2"/>
      <c r="P263" s="2"/>
      <c r="Q263" s="2"/>
      <c r="R263" s="2"/>
      <c r="S263" s="2"/>
      <c r="T263" s="2"/>
      <c r="U263" s="84"/>
      <c r="V263" s="84"/>
      <c r="W263" s="79"/>
      <c r="X263" s="26"/>
    </row>
    <row r="264" spans="1:24" ht="20.100000000000001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5"/>
      <c r="O264" s="2"/>
      <c r="P264" s="2"/>
      <c r="Q264" s="2"/>
      <c r="R264" s="2"/>
      <c r="S264" s="2"/>
      <c r="T264" s="2"/>
      <c r="U264" s="84"/>
      <c r="V264" s="84"/>
      <c r="W264" s="79"/>
      <c r="X264" s="26"/>
    </row>
    <row r="265" spans="1:24" ht="20.100000000000001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5"/>
      <c r="O265" s="2"/>
      <c r="P265" s="2"/>
      <c r="Q265" s="2"/>
      <c r="R265" s="2"/>
      <c r="S265" s="2"/>
      <c r="T265" s="2"/>
      <c r="U265" s="84"/>
      <c r="V265" s="84"/>
      <c r="W265" s="79"/>
      <c r="X265" s="26"/>
    </row>
    <row r="266" spans="1:24" ht="20.100000000000001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5"/>
      <c r="O266" s="2"/>
      <c r="P266" s="2"/>
      <c r="Q266" s="2"/>
      <c r="R266" s="2"/>
      <c r="S266" s="2"/>
      <c r="T266" s="2"/>
      <c r="U266" s="84"/>
      <c r="V266" s="84"/>
      <c r="W266" s="79"/>
      <c r="X266" s="26"/>
    </row>
    <row r="267" spans="1:24" ht="20.100000000000001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5"/>
      <c r="O267" s="2"/>
      <c r="P267" s="2"/>
      <c r="Q267" s="2"/>
      <c r="R267" s="2"/>
      <c r="S267" s="2"/>
      <c r="T267" s="2"/>
      <c r="U267" s="84"/>
      <c r="V267" s="84"/>
      <c r="W267" s="79"/>
      <c r="X267" s="26"/>
    </row>
    <row r="268" spans="1:24" ht="20.100000000000001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5"/>
      <c r="O268" s="2"/>
      <c r="P268" s="2"/>
      <c r="Q268" s="2"/>
      <c r="R268" s="2"/>
      <c r="S268" s="2"/>
      <c r="T268" s="2"/>
      <c r="U268" s="84"/>
      <c r="V268" s="84"/>
      <c r="W268" s="79"/>
      <c r="X268" s="26"/>
    </row>
    <row r="269" spans="1:24" ht="20.100000000000001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5"/>
      <c r="O269" s="2"/>
      <c r="P269" s="2"/>
      <c r="Q269" s="2"/>
      <c r="R269" s="2"/>
      <c r="S269" s="2"/>
      <c r="T269" s="2"/>
      <c r="U269" s="84"/>
      <c r="V269" s="84"/>
      <c r="W269" s="79"/>
      <c r="X269" s="26"/>
    </row>
    <row r="270" spans="1:24" ht="20.100000000000001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5"/>
      <c r="O270" s="2"/>
      <c r="P270" s="2"/>
      <c r="Q270" s="2"/>
      <c r="R270" s="2"/>
      <c r="S270" s="2"/>
      <c r="T270" s="2"/>
      <c r="U270" s="84"/>
      <c r="V270" s="84"/>
      <c r="W270" s="79"/>
      <c r="X270" s="26"/>
    </row>
    <row r="271" spans="1:24" ht="20.100000000000001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5"/>
      <c r="O271" s="2"/>
      <c r="P271" s="2"/>
      <c r="Q271" s="2"/>
      <c r="R271" s="2"/>
      <c r="S271" s="2"/>
      <c r="T271" s="2"/>
      <c r="U271" s="84"/>
      <c r="V271" s="84"/>
      <c r="W271" s="79"/>
      <c r="X271" s="26"/>
    </row>
    <row r="272" spans="1:24" ht="20.100000000000001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5"/>
      <c r="O272" s="2"/>
      <c r="P272" s="2"/>
      <c r="Q272" s="2"/>
      <c r="R272" s="2"/>
      <c r="S272" s="2"/>
      <c r="T272" s="2"/>
      <c r="U272" s="84"/>
      <c r="V272" s="84"/>
      <c r="W272" s="79"/>
      <c r="X272" s="26"/>
    </row>
    <row r="273" spans="1:24" ht="20.100000000000001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5"/>
      <c r="O273" s="2"/>
      <c r="P273" s="2"/>
      <c r="Q273" s="2"/>
      <c r="R273" s="2"/>
      <c r="S273" s="2"/>
      <c r="T273" s="2"/>
      <c r="U273" s="84"/>
      <c r="V273" s="84"/>
      <c r="W273" s="79"/>
      <c r="X273" s="26"/>
    </row>
    <row r="274" spans="1:24" ht="20.100000000000001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5"/>
      <c r="O274" s="2"/>
      <c r="P274" s="2"/>
      <c r="Q274" s="2"/>
      <c r="R274" s="2"/>
      <c r="S274" s="2"/>
      <c r="T274" s="2"/>
      <c r="U274" s="84"/>
      <c r="V274" s="84"/>
      <c r="W274" s="79"/>
      <c r="X274" s="26"/>
    </row>
    <row r="275" spans="1:24" ht="20.100000000000001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5"/>
      <c r="O275" s="2"/>
      <c r="P275" s="2"/>
      <c r="Q275" s="2"/>
      <c r="R275" s="2"/>
      <c r="S275" s="2"/>
      <c r="T275" s="2"/>
      <c r="U275" s="84"/>
      <c r="V275" s="84"/>
      <c r="W275" s="79"/>
      <c r="X275" s="26"/>
    </row>
    <row r="276" spans="1:24" ht="20.100000000000001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5"/>
      <c r="O276" s="2"/>
      <c r="P276" s="2"/>
      <c r="Q276" s="2"/>
      <c r="R276" s="2"/>
      <c r="S276" s="2"/>
      <c r="T276" s="2"/>
      <c r="U276" s="84"/>
      <c r="V276" s="84"/>
      <c r="W276" s="79"/>
      <c r="X276" s="26"/>
    </row>
    <row r="277" spans="1:24" ht="20.100000000000001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5"/>
      <c r="O277" s="2"/>
      <c r="P277" s="2"/>
      <c r="Q277" s="2"/>
      <c r="R277" s="2"/>
      <c r="S277" s="2"/>
      <c r="T277" s="2"/>
      <c r="U277" s="84"/>
      <c r="V277" s="84"/>
      <c r="W277" s="79"/>
      <c r="X277" s="26"/>
    </row>
    <row r="278" spans="1:24" ht="20.100000000000001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5"/>
      <c r="O278" s="2"/>
      <c r="P278" s="2"/>
      <c r="Q278" s="2"/>
      <c r="R278" s="2"/>
      <c r="S278" s="2"/>
      <c r="T278" s="2"/>
      <c r="U278" s="84"/>
      <c r="V278" s="84"/>
      <c r="W278" s="79"/>
      <c r="X278" s="26"/>
    </row>
    <row r="279" spans="1:24" ht="20.100000000000001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5"/>
      <c r="O279" s="2"/>
      <c r="P279" s="2"/>
      <c r="Q279" s="2"/>
      <c r="R279" s="2"/>
      <c r="S279" s="2"/>
      <c r="T279" s="2"/>
      <c r="U279" s="84"/>
      <c r="V279" s="84"/>
      <c r="W279" s="79"/>
      <c r="X279" s="26"/>
    </row>
    <row r="280" spans="1:24" ht="20.100000000000001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5"/>
      <c r="O280" s="2"/>
      <c r="P280" s="2"/>
      <c r="Q280" s="2"/>
      <c r="R280" s="2"/>
      <c r="S280" s="2"/>
      <c r="T280" s="2"/>
      <c r="U280" s="84"/>
      <c r="V280" s="84"/>
      <c r="W280" s="79"/>
      <c r="X280" s="26"/>
    </row>
    <row r="281" spans="1:24" ht="20.100000000000001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5"/>
      <c r="O281" s="2"/>
      <c r="P281" s="2"/>
      <c r="Q281" s="2"/>
      <c r="R281" s="2"/>
      <c r="S281" s="2"/>
      <c r="T281" s="2"/>
      <c r="U281" s="84"/>
      <c r="V281" s="84"/>
      <c r="W281" s="79"/>
      <c r="X281" s="26"/>
    </row>
    <row r="282" spans="1:24" ht="20.100000000000001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5"/>
      <c r="O282" s="2"/>
      <c r="P282" s="2"/>
      <c r="Q282" s="2"/>
      <c r="R282" s="2"/>
      <c r="S282" s="2"/>
      <c r="T282" s="2"/>
      <c r="U282" s="84"/>
      <c r="V282" s="84"/>
      <c r="W282" s="79"/>
      <c r="X282" s="26"/>
    </row>
    <row r="283" spans="1:24" ht="20.100000000000001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5"/>
      <c r="O283" s="2"/>
      <c r="P283" s="2"/>
      <c r="Q283" s="2"/>
      <c r="R283" s="2"/>
      <c r="S283" s="2"/>
      <c r="T283" s="2"/>
      <c r="U283" s="84"/>
      <c r="V283" s="84"/>
      <c r="W283" s="79"/>
      <c r="X283" s="26"/>
    </row>
    <row r="284" spans="1:24" ht="20.100000000000001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5"/>
      <c r="O284" s="2"/>
      <c r="P284" s="2"/>
      <c r="Q284" s="2"/>
      <c r="R284" s="2"/>
      <c r="S284" s="2"/>
      <c r="T284" s="2"/>
      <c r="U284" s="84"/>
      <c r="V284" s="84"/>
      <c r="W284" s="79"/>
      <c r="X284" s="26"/>
    </row>
    <row r="285" spans="1:24" ht="20.100000000000001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5"/>
      <c r="O285" s="2"/>
      <c r="P285" s="2"/>
      <c r="Q285" s="2"/>
      <c r="R285" s="2"/>
      <c r="S285" s="2"/>
      <c r="T285" s="2"/>
      <c r="U285" s="84"/>
      <c r="V285" s="84"/>
      <c r="W285" s="79"/>
      <c r="X285" s="26"/>
    </row>
    <row r="286" spans="1:24" ht="20.100000000000001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5"/>
      <c r="O286" s="2"/>
      <c r="P286" s="2"/>
      <c r="Q286" s="2"/>
      <c r="R286" s="2"/>
      <c r="S286" s="2"/>
      <c r="T286" s="2"/>
      <c r="U286" s="84"/>
      <c r="V286" s="84"/>
      <c r="W286" s="79"/>
      <c r="X286" s="26"/>
    </row>
    <row r="287" spans="1:24" ht="20.100000000000001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5"/>
      <c r="O287" s="2"/>
      <c r="P287" s="2"/>
      <c r="Q287" s="2"/>
      <c r="R287" s="2"/>
      <c r="S287" s="2"/>
      <c r="T287" s="2"/>
      <c r="U287" s="84"/>
      <c r="V287" s="84"/>
      <c r="W287" s="79"/>
      <c r="X287" s="26"/>
    </row>
    <row r="288" spans="1:24" ht="20.100000000000001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5"/>
      <c r="O288" s="2"/>
      <c r="P288" s="2"/>
      <c r="Q288" s="2"/>
      <c r="R288" s="2"/>
      <c r="S288" s="2"/>
      <c r="T288" s="2"/>
      <c r="U288" s="84"/>
      <c r="V288" s="84"/>
      <c r="W288" s="79"/>
      <c r="X288" s="26"/>
    </row>
    <row r="289" spans="1:24" ht="20.100000000000001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5"/>
      <c r="O289" s="2"/>
      <c r="P289" s="2"/>
      <c r="Q289" s="2"/>
      <c r="R289" s="2"/>
      <c r="S289" s="2"/>
      <c r="T289" s="2"/>
      <c r="U289" s="84"/>
      <c r="V289" s="84"/>
      <c r="W289" s="79"/>
      <c r="X289" s="26"/>
    </row>
    <row r="290" spans="1:24" ht="20.100000000000001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5"/>
      <c r="O290" s="2"/>
      <c r="P290" s="2"/>
      <c r="Q290" s="2"/>
      <c r="R290" s="2"/>
      <c r="S290" s="2"/>
      <c r="T290" s="2"/>
      <c r="U290" s="84"/>
      <c r="V290" s="84"/>
      <c r="W290" s="79"/>
      <c r="X290" s="26"/>
    </row>
    <row r="291" spans="1:24" ht="20.100000000000001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5"/>
      <c r="O291" s="2"/>
      <c r="P291" s="2"/>
      <c r="Q291" s="2"/>
      <c r="R291" s="2"/>
      <c r="S291" s="2"/>
      <c r="T291" s="2"/>
      <c r="U291" s="84"/>
      <c r="V291" s="84"/>
      <c r="W291" s="79"/>
      <c r="X291" s="26"/>
    </row>
    <row r="292" spans="1:24" ht="20.100000000000001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5"/>
      <c r="O292" s="2"/>
      <c r="P292" s="2"/>
      <c r="Q292" s="2"/>
      <c r="R292" s="2"/>
      <c r="S292" s="2"/>
      <c r="T292" s="2"/>
      <c r="U292" s="84"/>
      <c r="V292" s="84"/>
      <c r="W292" s="79"/>
      <c r="X292" s="26"/>
    </row>
    <row r="293" spans="1:24" ht="20.100000000000001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5"/>
      <c r="O293" s="2"/>
      <c r="P293" s="2"/>
      <c r="Q293" s="2"/>
      <c r="R293" s="2"/>
      <c r="S293" s="2"/>
      <c r="T293" s="2"/>
      <c r="U293" s="84"/>
      <c r="V293" s="84"/>
      <c r="W293" s="79"/>
      <c r="X293" s="26"/>
    </row>
    <row r="294" spans="1:24" ht="20.100000000000001" customHeight="1" x14ac:dyDescent="0.3">
      <c r="X294" s="26"/>
    </row>
    <row r="295" spans="1:24" ht="20.100000000000001" customHeight="1" x14ac:dyDescent="0.3">
      <c r="X295" s="26"/>
    </row>
    <row r="296" spans="1:24" ht="20.100000000000001" customHeight="1" x14ac:dyDescent="0.3">
      <c r="X296" s="26"/>
    </row>
    <row r="297" spans="1:24" ht="20.100000000000001" customHeight="1" x14ac:dyDescent="0.3">
      <c r="X297" s="26"/>
    </row>
    <row r="298" spans="1:24" ht="20.100000000000001" customHeight="1" x14ac:dyDescent="0.3">
      <c r="X298" s="26"/>
    </row>
    <row r="299" spans="1:24" ht="20.100000000000001" customHeight="1" x14ac:dyDescent="0.3">
      <c r="X299" s="26"/>
    </row>
    <row r="300" spans="1:24" ht="20.100000000000001" customHeight="1" x14ac:dyDescent="0.3">
      <c r="X300" s="26"/>
    </row>
    <row r="301" spans="1:24" ht="20.100000000000001" customHeight="1" x14ac:dyDescent="0.3">
      <c r="X301" s="26"/>
    </row>
    <row r="302" spans="1:24" ht="20.100000000000001" customHeight="1" x14ac:dyDescent="0.3">
      <c r="X302" s="26"/>
    </row>
    <row r="303" spans="1:24" ht="20.100000000000001" customHeight="1" x14ac:dyDescent="0.3">
      <c r="X303" s="26"/>
    </row>
    <row r="304" spans="1:24" ht="20.100000000000001" customHeight="1" x14ac:dyDescent="0.3">
      <c r="X304" s="26"/>
    </row>
    <row r="305" spans="24:24" ht="20.100000000000001" customHeight="1" x14ac:dyDescent="0.3">
      <c r="X305" s="26"/>
    </row>
    <row r="306" spans="24:24" ht="20.100000000000001" customHeight="1" x14ac:dyDescent="0.3">
      <c r="X306" s="26"/>
    </row>
    <row r="307" spans="24:24" ht="20.100000000000001" customHeight="1" x14ac:dyDescent="0.3">
      <c r="X307" s="26"/>
    </row>
    <row r="308" spans="24:24" ht="20.100000000000001" customHeight="1" x14ac:dyDescent="0.3">
      <c r="X308" s="26"/>
    </row>
    <row r="309" spans="24:24" ht="20.100000000000001" customHeight="1" x14ac:dyDescent="0.3">
      <c r="X309" s="26"/>
    </row>
    <row r="310" spans="24:24" ht="20.100000000000001" customHeight="1" x14ac:dyDescent="0.3">
      <c r="X310" s="26"/>
    </row>
    <row r="311" spans="24:24" ht="20.100000000000001" customHeight="1" x14ac:dyDescent="0.3">
      <c r="X311" s="26"/>
    </row>
    <row r="312" spans="24:24" ht="20.100000000000001" customHeight="1" x14ac:dyDescent="0.3">
      <c r="X312" s="26"/>
    </row>
    <row r="313" spans="24:24" ht="20.100000000000001" customHeight="1" x14ac:dyDescent="0.3">
      <c r="X313" s="26"/>
    </row>
    <row r="314" spans="24:24" ht="20.100000000000001" customHeight="1" x14ac:dyDescent="0.3">
      <c r="X314" s="26"/>
    </row>
    <row r="315" spans="24:24" ht="20.100000000000001" customHeight="1" x14ac:dyDescent="0.3">
      <c r="X315" s="26"/>
    </row>
    <row r="316" spans="24:24" ht="20.100000000000001" customHeight="1" x14ac:dyDescent="0.3">
      <c r="X316" s="26"/>
    </row>
    <row r="317" spans="24:24" ht="20.100000000000001" customHeight="1" x14ac:dyDescent="0.3">
      <c r="X317" s="26"/>
    </row>
    <row r="318" spans="24:24" ht="20.100000000000001" customHeight="1" x14ac:dyDescent="0.3">
      <c r="X318" s="26"/>
    </row>
    <row r="319" spans="24:24" ht="20.100000000000001" customHeight="1" x14ac:dyDescent="0.3">
      <c r="X319" s="26"/>
    </row>
    <row r="320" spans="24:24" ht="20.100000000000001" customHeight="1" x14ac:dyDescent="0.3">
      <c r="X320" s="26"/>
    </row>
    <row r="321" spans="24:24" ht="20.100000000000001" customHeight="1" x14ac:dyDescent="0.3">
      <c r="X321" s="26"/>
    </row>
    <row r="322" spans="24:24" ht="20.100000000000001" customHeight="1" x14ac:dyDescent="0.3">
      <c r="X322" s="26"/>
    </row>
    <row r="323" spans="24:24" ht="20.100000000000001" customHeight="1" x14ac:dyDescent="0.3">
      <c r="X323" s="26"/>
    </row>
    <row r="324" spans="24:24" ht="20.100000000000001" customHeight="1" x14ac:dyDescent="0.3">
      <c r="X324" s="26"/>
    </row>
    <row r="325" spans="24:24" ht="20.100000000000001" customHeight="1" x14ac:dyDescent="0.3">
      <c r="X325" s="26"/>
    </row>
    <row r="326" spans="24:24" ht="20.100000000000001" customHeight="1" x14ac:dyDescent="0.3">
      <c r="X326" s="26"/>
    </row>
    <row r="327" spans="24:24" ht="20.100000000000001" customHeight="1" x14ac:dyDescent="0.3">
      <c r="X327" s="26"/>
    </row>
    <row r="328" spans="24:24" ht="20.100000000000001" customHeight="1" x14ac:dyDescent="0.3">
      <c r="X328" s="26"/>
    </row>
    <row r="329" spans="24:24" ht="20.100000000000001" customHeight="1" x14ac:dyDescent="0.3">
      <c r="X329" s="26"/>
    </row>
    <row r="330" spans="24:24" ht="20.100000000000001" customHeight="1" x14ac:dyDescent="0.3">
      <c r="X330" s="26"/>
    </row>
    <row r="331" spans="24:24" ht="20.100000000000001" customHeight="1" x14ac:dyDescent="0.3">
      <c r="X331" s="26"/>
    </row>
    <row r="332" spans="24:24" ht="20.100000000000001" customHeight="1" x14ac:dyDescent="0.3">
      <c r="X332" s="26"/>
    </row>
    <row r="333" spans="24:24" ht="20.100000000000001" customHeight="1" x14ac:dyDescent="0.3">
      <c r="X333" s="26"/>
    </row>
    <row r="334" spans="24:24" ht="20.100000000000001" customHeight="1" x14ac:dyDescent="0.3">
      <c r="X334" s="26"/>
    </row>
    <row r="335" spans="24:24" ht="20.100000000000001" customHeight="1" x14ac:dyDescent="0.3">
      <c r="X335" s="26"/>
    </row>
    <row r="336" spans="24:24" ht="20.100000000000001" customHeight="1" x14ac:dyDescent="0.3">
      <c r="X336" s="26"/>
    </row>
    <row r="337" spans="24:24" ht="20.100000000000001" customHeight="1" x14ac:dyDescent="0.3">
      <c r="X337" s="26"/>
    </row>
    <row r="338" spans="24:24" ht="20.100000000000001" customHeight="1" x14ac:dyDescent="0.3">
      <c r="X338" s="26"/>
    </row>
    <row r="339" spans="24:24" ht="20.100000000000001" customHeight="1" x14ac:dyDescent="0.3">
      <c r="X339" s="26"/>
    </row>
    <row r="340" spans="24:24" ht="20.100000000000001" customHeight="1" x14ac:dyDescent="0.3">
      <c r="X340" s="26"/>
    </row>
    <row r="341" spans="24:24" ht="20.100000000000001" customHeight="1" x14ac:dyDescent="0.3">
      <c r="X341" s="26"/>
    </row>
    <row r="342" spans="24:24" ht="20.100000000000001" customHeight="1" x14ac:dyDescent="0.3">
      <c r="X342" s="26"/>
    </row>
    <row r="343" spans="24:24" ht="20.100000000000001" customHeight="1" x14ac:dyDescent="0.3">
      <c r="X343" s="26"/>
    </row>
    <row r="344" spans="24:24" ht="20.100000000000001" customHeight="1" x14ac:dyDescent="0.3">
      <c r="X344" s="26"/>
    </row>
    <row r="345" spans="24:24" ht="20.100000000000001" customHeight="1" x14ac:dyDescent="0.3">
      <c r="X345" s="26"/>
    </row>
    <row r="346" spans="24:24" ht="20.100000000000001" customHeight="1" x14ac:dyDescent="0.3">
      <c r="X346" s="26"/>
    </row>
    <row r="347" spans="24:24" ht="20.100000000000001" customHeight="1" x14ac:dyDescent="0.3">
      <c r="X347" s="26"/>
    </row>
    <row r="348" spans="24:24" ht="20.100000000000001" customHeight="1" x14ac:dyDescent="0.3">
      <c r="X348" s="26"/>
    </row>
    <row r="349" spans="24:24" ht="20.100000000000001" customHeight="1" x14ac:dyDescent="0.3">
      <c r="X349" s="26"/>
    </row>
    <row r="350" spans="24:24" ht="20.100000000000001" customHeight="1" x14ac:dyDescent="0.3">
      <c r="X350" s="26"/>
    </row>
    <row r="351" spans="24:24" ht="20.100000000000001" customHeight="1" x14ac:dyDescent="0.3">
      <c r="X351" s="26"/>
    </row>
    <row r="352" spans="24:24" ht="20.100000000000001" customHeight="1" x14ac:dyDescent="0.3">
      <c r="X352" s="26"/>
    </row>
    <row r="353" spans="24:24" ht="20.100000000000001" customHeight="1" x14ac:dyDescent="0.3">
      <c r="X353" s="26"/>
    </row>
    <row r="354" spans="24:24" ht="20.100000000000001" customHeight="1" x14ac:dyDescent="0.3">
      <c r="X354" s="26"/>
    </row>
    <row r="355" spans="24:24" ht="20.100000000000001" customHeight="1" x14ac:dyDescent="0.3">
      <c r="X355" s="26"/>
    </row>
    <row r="356" spans="24:24" ht="20.100000000000001" customHeight="1" x14ac:dyDescent="0.3">
      <c r="X356" s="26"/>
    </row>
    <row r="357" spans="24:24" ht="20.100000000000001" customHeight="1" x14ac:dyDescent="0.3">
      <c r="X357" s="26"/>
    </row>
    <row r="358" spans="24:24" ht="20.100000000000001" customHeight="1" x14ac:dyDescent="0.3">
      <c r="X358" s="26"/>
    </row>
    <row r="359" spans="24:24" ht="20.100000000000001" customHeight="1" x14ac:dyDescent="0.3">
      <c r="X359" s="26"/>
    </row>
    <row r="360" spans="24:24" ht="20.100000000000001" customHeight="1" x14ac:dyDescent="0.3">
      <c r="X360" s="26"/>
    </row>
    <row r="361" spans="24:24" ht="20.100000000000001" customHeight="1" x14ac:dyDescent="0.3">
      <c r="X361" s="26"/>
    </row>
    <row r="362" spans="24:24" ht="20.100000000000001" customHeight="1" x14ac:dyDescent="0.3">
      <c r="X362" s="26"/>
    </row>
    <row r="363" spans="24:24" ht="20.100000000000001" customHeight="1" x14ac:dyDescent="0.3">
      <c r="X363" s="26"/>
    </row>
    <row r="364" spans="24:24" ht="20.100000000000001" customHeight="1" x14ac:dyDescent="0.3">
      <c r="X364" s="26"/>
    </row>
    <row r="365" spans="24:24" ht="20.100000000000001" customHeight="1" x14ac:dyDescent="0.3">
      <c r="X365" s="26"/>
    </row>
    <row r="366" spans="24:24" ht="20.100000000000001" customHeight="1" x14ac:dyDescent="0.3">
      <c r="X366" s="26"/>
    </row>
    <row r="367" spans="24:24" ht="20.100000000000001" customHeight="1" x14ac:dyDescent="0.3">
      <c r="X367" s="26"/>
    </row>
    <row r="368" spans="24:24" ht="20.100000000000001" customHeight="1" x14ac:dyDescent="0.3">
      <c r="X368" s="26"/>
    </row>
    <row r="369" spans="24:24" ht="20.100000000000001" customHeight="1" x14ac:dyDescent="0.3">
      <c r="X369" s="26"/>
    </row>
    <row r="370" spans="24:24" ht="20.100000000000001" customHeight="1" x14ac:dyDescent="0.3">
      <c r="X370" s="26"/>
    </row>
    <row r="371" spans="24:24" ht="20.100000000000001" customHeight="1" x14ac:dyDescent="0.3">
      <c r="X371" s="26"/>
    </row>
    <row r="372" spans="24:24" ht="20.100000000000001" customHeight="1" x14ac:dyDescent="0.3">
      <c r="X372" s="26"/>
    </row>
    <row r="373" spans="24:24" ht="20.100000000000001" customHeight="1" x14ac:dyDescent="0.3">
      <c r="X373" s="26"/>
    </row>
    <row r="374" spans="24:24" ht="20.100000000000001" customHeight="1" x14ac:dyDescent="0.3">
      <c r="X374" s="26"/>
    </row>
    <row r="375" spans="24:24" ht="20.100000000000001" customHeight="1" x14ac:dyDescent="0.3">
      <c r="X375" s="26"/>
    </row>
    <row r="376" spans="24:24" ht="20.100000000000001" customHeight="1" x14ac:dyDescent="0.3">
      <c r="X376" s="26"/>
    </row>
    <row r="377" spans="24:24" ht="20.100000000000001" customHeight="1" x14ac:dyDescent="0.3">
      <c r="X377" s="26"/>
    </row>
    <row r="378" spans="24:24" ht="20.100000000000001" customHeight="1" x14ac:dyDescent="0.3">
      <c r="X378" s="26"/>
    </row>
    <row r="379" spans="24:24" ht="20.100000000000001" customHeight="1" x14ac:dyDescent="0.3">
      <c r="X379" s="26"/>
    </row>
    <row r="380" spans="24:24" ht="20.100000000000001" customHeight="1" x14ac:dyDescent="0.3">
      <c r="X380" s="26"/>
    </row>
    <row r="381" spans="24:24" ht="20.100000000000001" customHeight="1" x14ac:dyDescent="0.3">
      <c r="X381" s="26"/>
    </row>
    <row r="382" spans="24:24" ht="20.100000000000001" customHeight="1" x14ac:dyDescent="0.3">
      <c r="X382" s="26"/>
    </row>
    <row r="383" spans="24:24" ht="20.100000000000001" customHeight="1" x14ac:dyDescent="0.3">
      <c r="X383" s="26"/>
    </row>
    <row r="384" spans="24:24" ht="20.100000000000001" customHeight="1" x14ac:dyDescent="0.3">
      <c r="X384" s="26"/>
    </row>
    <row r="385" spans="24:24" ht="20.100000000000001" customHeight="1" x14ac:dyDescent="0.3">
      <c r="X385" s="26"/>
    </row>
    <row r="386" spans="24:24" ht="20.100000000000001" customHeight="1" x14ac:dyDescent="0.3">
      <c r="X386" s="26"/>
    </row>
    <row r="387" spans="24:24" ht="20.100000000000001" customHeight="1" x14ac:dyDescent="0.3">
      <c r="X387" s="26"/>
    </row>
    <row r="388" spans="24:24" ht="20.100000000000001" customHeight="1" x14ac:dyDescent="0.3">
      <c r="X388" s="26"/>
    </row>
    <row r="389" spans="24:24" ht="20.100000000000001" customHeight="1" x14ac:dyDescent="0.3">
      <c r="X389" s="26"/>
    </row>
    <row r="390" spans="24:24" ht="20.100000000000001" customHeight="1" x14ac:dyDescent="0.3">
      <c r="X390" s="26"/>
    </row>
    <row r="391" spans="24:24" ht="20.100000000000001" customHeight="1" x14ac:dyDescent="0.3">
      <c r="X391" s="26"/>
    </row>
    <row r="392" spans="24:24" ht="20.100000000000001" customHeight="1" x14ac:dyDescent="0.3">
      <c r="X392" s="26"/>
    </row>
    <row r="393" spans="24:24" ht="20.100000000000001" customHeight="1" x14ac:dyDescent="0.3">
      <c r="X393" s="26"/>
    </row>
    <row r="394" spans="24:24" ht="20.100000000000001" customHeight="1" x14ac:dyDescent="0.3">
      <c r="X394" s="26"/>
    </row>
    <row r="395" spans="24:24" ht="20.100000000000001" customHeight="1" x14ac:dyDescent="0.3">
      <c r="X395" s="26"/>
    </row>
    <row r="396" spans="24:24" ht="20.100000000000001" customHeight="1" x14ac:dyDescent="0.3">
      <c r="X396" s="26"/>
    </row>
    <row r="397" spans="24:24" ht="20.100000000000001" customHeight="1" x14ac:dyDescent="0.3">
      <c r="X397" s="26"/>
    </row>
    <row r="398" spans="24:24" ht="20.100000000000001" customHeight="1" x14ac:dyDescent="0.3">
      <c r="X398" s="26"/>
    </row>
    <row r="399" spans="24:24" ht="20.100000000000001" customHeight="1" x14ac:dyDescent="0.3">
      <c r="X399" s="26"/>
    </row>
    <row r="400" spans="24:24" ht="20.100000000000001" customHeight="1" x14ac:dyDescent="0.3">
      <c r="X400" s="26"/>
    </row>
    <row r="401" spans="24:24" ht="20.100000000000001" customHeight="1" x14ac:dyDescent="0.3">
      <c r="X401" s="26"/>
    </row>
    <row r="402" spans="24:24" ht="20.100000000000001" customHeight="1" x14ac:dyDescent="0.3">
      <c r="X402" s="26"/>
    </row>
    <row r="403" spans="24:24" ht="20.100000000000001" customHeight="1" x14ac:dyDescent="0.3">
      <c r="X403" s="26"/>
    </row>
    <row r="404" spans="24:24" ht="20.100000000000001" customHeight="1" x14ac:dyDescent="0.3">
      <c r="X404" s="26"/>
    </row>
    <row r="405" spans="24:24" ht="20.100000000000001" customHeight="1" x14ac:dyDescent="0.3">
      <c r="X405" s="26"/>
    </row>
    <row r="406" spans="24:24" ht="20.100000000000001" customHeight="1" x14ac:dyDescent="0.3">
      <c r="X406" s="26"/>
    </row>
    <row r="407" spans="24:24" ht="20.100000000000001" customHeight="1" x14ac:dyDescent="0.3">
      <c r="X407" s="26"/>
    </row>
    <row r="408" spans="24:24" ht="20.100000000000001" customHeight="1" x14ac:dyDescent="0.3">
      <c r="X408" s="26"/>
    </row>
    <row r="409" spans="24:24" ht="20.100000000000001" customHeight="1" x14ac:dyDescent="0.3">
      <c r="X409" s="26"/>
    </row>
    <row r="410" spans="24:24" ht="20.100000000000001" customHeight="1" x14ac:dyDescent="0.3">
      <c r="X410" s="26"/>
    </row>
    <row r="411" spans="24:24" ht="20.100000000000001" customHeight="1" x14ac:dyDescent="0.3">
      <c r="X411" s="26"/>
    </row>
    <row r="412" spans="24:24" ht="20.100000000000001" customHeight="1" x14ac:dyDescent="0.3">
      <c r="X412" s="26"/>
    </row>
    <row r="413" spans="24:24" ht="20.100000000000001" customHeight="1" x14ac:dyDescent="0.3">
      <c r="X413" s="26"/>
    </row>
    <row r="414" spans="24:24" ht="20.100000000000001" customHeight="1" x14ac:dyDescent="0.3">
      <c r="X414" s="26"/>
    </row>
    <row r="415" spans="24:24" ht="20.100000000000001" customHeight="1" x14ac:dyDescent="0.3">
      <c r="X415" s="26"/>
    </row>
    <row r="416" spans="24:24" ht="20.100000000000001" customHeight="1" x14ac:dyDescent="0.3">
      <c r="X416" s="26"/>
    </row>
    <row r="417" spans="24:24" ht="20.100000000000001" customHeight="1" x14ac:dyDescent="0.3">
      <c r="X417" s="26"/>
    </row>
    <row r="418" spans="24:24" ht="20.100000000000001" customHeight="1" x14ac:dyDescent="0.3">
      <c r="X418" s="26"/>
    </row>
    <row r="419" spans="24:24" ht="20.100000000000001" customHeight="1" x14ac:dyDescent="0.3">
      <c r="X419" s="26"/>
    </row>
    <row r="420" spans="24:24" ht="20.100000000000001" customHeight="1" x14ac:dyDescent="0.3">
      <c r="X420" s="26"/>
    </row>
    <row r="421" spans="24:24" ht="20.100000000000001" customHeight="1" x14ac:dyDescent="0.3">
      <c r="X421" s="26"/>
    </row>
    <row r="422" spans="24:24" ht="20.100000000000001" customHeight="1" x14ac:dyDescent="0.3">
      <c r="X422" s="26"/>
    </row>
    <row r="423" spans="24:24" ht="20.100000000000001" customHeight="1" x14ac:dyDescent="0.3">
      <c r="X423" s="26"/>
    </row>
    <row r="424" spans="24:24" ht="20.100000000000001" customHeight="1" x14ac:dyDescent="0.3">
      <c r="X424" s="26"/>
    </row>
    <row r="425" spans="24:24" ht="20.100000000000001" customHeight="1" x14ac:dyDescent="0.3">
      <c r="X425" s="26"/>
    </row>
    <row r="426" spans="24:24" ht="20.100000000000001" customHeight="1" x14ac:dyDescent="0.3">
      <c r="X426" s="26"/>
    </row>
    <row r="427" spans="24:24" ht="20.100000000000001" customHeight="1" x14ac:dyDescent="0.3">
      <c r="X427" s="26"/>
    </row>
    <row r="428" spans="24:24" ht="20.100000000000001" customHeight="1" x14ac:dyDescent="0.3">
      <c r="X428" s="26"/>
    </row>
    <row r="429" spans="24:24" ht="20.100000000000001" customHeight="1" x14ac:dyDescent="0.3">
      <c r="X429" s="26"/>
    </row>
    <row r="430" spans="24:24" ht="20.100000000000001" customHeight="1" x14ac:dyDescent="0.3">
      <c r="X430" s="26"/>
    </row>
    <row r="431" spans="24:24" ht="20.100000000000001" customHeight="1" x14ac:dyDescent="0.3">
      <c r="X431" s="26"/>
    </row>
    <row r="432" spans="24:24" ht="20.100000000000001" customHeight="1" x14ac:dyDescent="0.3">
      <c r="X432" s="26"/>
    </row>
    <row r="433" spans="24:24" ht="20.100000000000001" customHeight="1" x14ac:dyDescent="0.3">
      <c r="X433" s="26"/>
    </row>
    <row r="434" spans="24:24" ht="20.100000000000001" customHeight="1" x14ac:dyDescent="0.3">
      <c r="X434" s="26"/>
    </row>
    <row r="435" spans="24:24" ht="20.100000000000001" customHeight="1" x14ac:dyDescent="0.3">
      <c r="X435" s="26"/>
    </row>
    <row r="436" spans="24:24" ht="20.100000000000001" customHeight="1" x14ac:dyDescent="0.3">
      <c r="X436" s="26"/>
    </row>
    <row r="437" spans="24:24" ht="20.100000000000001" customHeight="1" x14ac:dyDescent="0.3">
      <c r="X437" s="26"/>
    </row>
    <row r="438" spans="24:24" ht="20.100000000000001" customHeight="1" x14ac:dyDescent="0.3">
      <c r="X438" s="26"/>
    </row>
    <row r="439" spans="24:24" ht="20.100000000000001" customHeight="1" x14ac:dyDescent="0.3">
      <c r="X439" s="26"/>
    </row>
    <row r="440" spans="24:24" ht="20.100000000000001" customHeight="1" x14ac:dyDescent="0.3">
      <c r="X440" s="26"/>
    </row>
    <row r="441" spans="24:24" ht="20.100000000000001" customHeight="1" x14ac:dyDescent="0.3">
      <c r="X441" s="26"/>
    </row>
    <row r="442" spans="24:24" ht="20.100000000000001" customHeight="1" x14ac:dyDescent="0.3">
      <c r="X442" s="26"/>
    </row>
    <row r="443" spans="24:24" ht="20.100000000000001" customHeight="1" x14ac:dyDescent="0.3">
      <c r="X443" s="26"/>
    </row>
    <row r="444" spans="24:24" ht="20.100000000000001" customHeight="1" x14ac:dyDescent="0.3">
      <c r="X444" s="26"/>
    </row>
    <row r="445" spans="24:24" ht="20.100000000000001" customHeight="1" x14ac:dyDescent="0.3">
      <c r="X445" s="26"/>
    </row>
    <row r="446" spans="24:24" ht="20.100000000000001" customHeight="1" x14ac:dyDescent="0.3">
      <c r="X446" s="26"/>
    </row>
    <row r="447" spans="24:24" ht="20.100000000000001" customHeight="1" x14ac:dyDescent="0.3">
      <c r="X447" s="26"/>
    </row>
    <row r="448" spans="24:24" ht="20.100000000000001" customHeight="1" x14ac:dyDescent="0.3">
      <c r="X448" s="26"/>
    </row>
    <row r="449" spans="24:24" ht="20.100000000000001" customHeight="1" x14ac:dyDescent="0.3">
      <c r="X449" s="26"/>
    </row>
    <row r="450" spans="24:24" ht="20.100000000000001" customHeight="1" x14ac:dyDescent="0.3">
      <c r="X450" s="26"/>
    </row>
    <row r="451" spans="24:24" ht="20.100000000000001" customHeight="1" x14ac:dyDescent="0.3">
      <c r="X451" s="26"/>
    </row>
    <row r="452" spans="24:24" ht="20.100000000000001" customHeight="1" x14ac:dyDescent="0.3">
      <c r="X452" s="26"/>
    </row>
    <row r="453" spans="24:24" ht="20.100000000000001" customHeight="1" x14ac:dyDescent="0.3">
      <c r="X453" s="26"/>
    </row>
    <row r="454" spans="24:24" ht="20.100000000000001" customHeight="1" x14ac:dyDescent="0.3">
      <c r="X454" s="26"/>
    </row>
    <row r="455" spans="24:24" ht="20.100000000000001" customHeight="1" x14ac:dyDescent="0.3">
      <c r="X455" s="26"/>
    </row>
    <row r="456" spans="24:24" ht="20.100000000000001" customHeight="1" x14ac:dyDescent="0.3">
      <c r="X456" s="26"/>
    </row>
    <row r="457" spans="24:24" ht="20.100000000000001" customHeight="1" x14ac:dyDescent="0.3">
      <c r="X457" s="26"/>
    </row>
    <row r="458" spans="24:24" ht="20.100000000000001" customHeight="1" x14ac:dyDescent="0.3">
      <c r="X458" s="26"/>
    </row>
    <row r="459" spans="24:24" ht="20.100000000000001" customHeight="1" x14ac:dyDescent="0.3">
      <c r="X459" s="26"/>
    </row>
    <row r="460" spans="24:24" ht="20.100000000000001" customHeight="1" x14ac:dyDescent="0.3">
      <c r="X460" s="26"/>
    </row>
    <row r="461" spans="24:24" ht="20.100000000000001" customHeight="1" x14ac:dyDescent="0.3">
      <c r="X461" s="26"/>
    </row>
    <row r="462" spans="24:24" ht="20.100000000000001" customHeight="1" x14ac:dyDescent="0.3">
      <c r="X462" s="26"/>
    </row>
    <row r="463" spans="24:24" ht="20.100000000000001" customHeight="1" x14ac:dyDescent="0.3">
      <c r="X463" s="26"/>
    </row>
    <row r="464" spans="24:24" ht="20.100000000000001" customHeight="1" x14ac:dyDescent="0.3">
      <c r="X464" s="26"/>
    </row>
    <row r="465" spans="24:24" ht="20.100000000000001" customHeight="1" x14ac:dyDescent="0.3">
      <c r="X465" s="26"/>
    </row>
    <row r="466" spans="24:24" ht="20.100000000000001" customHeight="1" x14ac:dyDescent="0.3">
      <c r="X466" s="26"/>
    </row>
    <row r="467" spans="24:24" ht="20.100000000000001" customHeight="1" x14ac:dyDescent="0.3">
      <c r="X467" s="26"/>
    </row>
    <row r="468" spans="24:24" ht="20.100000000000001" customHeight="1" x14ac:dyDescent="0.3">
      <c r="X468" s="26"/>
    </row>
    <row r="469" spans="24:24" ht="20.100000000000001" customHeight="1" x14ac:dyDescent="0.3">
      <c r="X469" s="26"/>
    </row>
    <row r="470" spans="24:24" ht="20.100000000000001" customHeight="1" x14ac:dyDescent="0.3">
      <c r="X470" s="26"/>
    </row>
    <row r="471" spans="24:24" ht="20.100000000000001" customHeight="1" x14ac:dyDescent="0.3">
      <c r="X471" s="26"/>
    </row>
    <row r="472" spans="24:24" ht="20.100000000000001" customHeight="1" x14ac:dyDescent="0.3">
      <c r="X472" s="26"/>
    </row>
    <row r="473" spans="24:24" ht="20.100000000000001" customHeight="1" x14ac:dyDescent="0.3">
      <c r="X473" s="26"/>
    </row>
    <row r="474" spans="24:24" ht="20.100000000000001" customHeight="1" x14ac:dyDescent="0.3">
      <c r="X474" s="26"/>
    </row>
    <row r="475" spans="24:24" ht="20.100000000000001" customHeight="1" x14ac:dyDescent="0.3">
      <c r="X475" s="26"/>
    </row>
    <row r="476" spans="24:24" ht="20.100000000000001" customHeight="1" x14ac:dyDescent="0.3">
      <c r="X476" s="26"/>
    </row>
    <row r="477" spans="24:24" ht="20.100000000000001" customHeight="1" x14ac:dyDescent="0.3">
      <c r="X477" s="26"/>
    </row>
    <row r="478" spans="24:24" ht="20.100000000000001" customHeight="1" x14ac:dyDescent="0.3">
      <c r="X478" s="26"/>
    </row>
    <row r="479" spans="24:24" ht="20.100000000000001" customHeight="1" x14ac:dyDescent="0.3">
      <c r="X479" s="26"/>
    </row>
    <row r="480" spans="24:24" ht="20.100000000000001" customHeight="1" x14ac:dyDescent="0.3">
      <c r="X480" s="26"/>
    </row>
    <row r="481" spans="24:24" ht="20.100000000000001" customHeight="1" x14ac:dyDescent="0.3">
      <c r="X481" s="26"/>
    </row>
    <row r="482" spans="24:24" ht="20.100000000000001" customHeight="1" x14ac:dyDescent="0.3">
      <c r="X482" s="26"/>
    </row>
    <row r="483" spans="24:24" ht="20.100000000000001" customHeight="1" x14ac:dyDescent="0.3">
      <c r="X483" s="26"/>
    </row>
    <row r="484" spans="24:24" ht="20.100000000000001" customHeight="1" x14ac:dyDescent="0.3">
      <c r="X484" s="26"/>
    </row>
    <row r="485" spans="24:24" ht="20.100000000000001" customHeight="1" x14ac:dyDescent="0.3">
      <c r="X485" s="26"/>
    </row>
    <row r="486" spans="24:24" ht="20.100000000000001" customHeight="1" x14ac:dyDescent="0.3">
      <c r="X486" s="26"/>
    </row>
    <row r="487" spans="24:24" ht="20.100000000000001" customHeight="1" x14ac:dyDescent="0.3">
      <c r="X487" s="26"/>
    </row>
    <row r="488" spans="24:24" ht="20.100000000000001" customHeight="1" x14ac:dyDescent="0.3">
      <c r="X488" s="26"/>
    </row>
    <row r="489" spans="24:24" ht="20.100000000000001" customHeight="1" x14ac:dyDescent="0.3">
      <c r="X489" s="26"/>
    </row>
    <row r="490" spans="24:24" ht="20.100000000000001" customHeight="1" x14ac:dyDescent="0.3">
      <c r="X490" s="26"/>
    </row>
    <row r="491" spans="24:24" ht="20.100000000000001" customHeight="1" x14ac:dyDescent="0.3">
      <c r="X491" s="26"/>
    </row>
    <row r="492" spans="24:24" ht="20.100000000000001" customHeight="1" x14ac:dyDescent="0.3">
      <c r="X492" s="26"/>
    </row>
    <row r="493" spans="24:24" ht="20.100000000000001" customHeight="1" x14ac:dyDescent="0.3">
      <c r="X493" s="26"/>
    </row>
    <row r="494" spans="24:24" ht="20.100000000000001" customHeight="1" x14ac:dyDescent="0.3">
      <c r="X494" s="26"/>
    </row>
    <row r="495" spans="24:24" ht="20.100000000000001" customHeight="1" x14ac:dyDescent="0.3">
      <c r="X495" s="26"/>
    </row>
    <row r="496" spans="24:24" ht="20.100000000000001" customHeight="1" x14ac:dyDescent="0.3">
      <c r="X496" s="26"/>
    </row>
    <row r="497" spans="24:24" ht="20.100000000000001" customHeight="1" x14ac:dyDescent="0.3">
      <c r="X497" s="26"/>
    </row>
    <row r="498" spans="24:24" ht="20.100000000000001" customHeight="1" x14ac:dyDescent="0.3">
      <c r="X498" s="26"/>
    </row>
    <row r="499" spans="24:24" ht="20.100000000000001" customHeight="1" x14ac:dyDescent="0.3">
      <c r="X499" s="26"/>
    </row>
    <row r="500" spans="24:24" ht="20.100000000000001" customHeight="1" x14ac:dyDescent="0.3">
      <c r="X500" s="26"/>
    </row>
    <row r="501" spans="24:24" ht="20.100000000000001" customHeight="1" x14ac:dyDescent="0.3">
      <c r="X501" s="26"/>
    </row>
    <row r="502" spans="24:24" ht="20.100000000000001" customHeight="1" x14ac:dyDescent="0.3">
      <c r="X502" s="26"/>
    </row>
    <row r="503" spans="24:24" ht="20.100000000000001" customHeight="1" x14ac:dyDescent="0.3">
      <c r="X503" s="26"/>
    </row>
    <row r="504" spans="24:24" ht="20.100000000000001" customHeight="1" x14ac:dyDescent="0.3">
      <c r="X504" s="26"/>
    </row>
    <row r="505" spans="24:24" ht="20.100000000000001" customHeight="1" x14ac:dyDescent="0.3">
      <c r="X505" s="26"/>
    </row>
    <row r="506" spans="24:24" ht="20.100000000000001" customHeight="1" x14ac:dyDescent="0.3">
      <c r="X506" s="26"/>
    </row>
    <row r="507" spans="24:24" ht="20.100000000000001" customHeight="1" x14ac:dyDescent="0.3">
      <c r="X507" s="26"/>
    </row>
    <row r="508" spans="24:24" ht="20.100000000000001" customHeight="1" x14ac:dyDescent="0.3">
      <c r="X508" s="26"/>
    </row>
    <row r="509" spans="24:24" ht="20.100000000000001" customHeight="1" x14ac:dyDescent="0.3">
      <c r="X509" s="26"/>
    </row>
    <row r="510" spans="24:24" ht="20.100000000000001" customHeight="1" x14ac:dyDescent="0.3">
      <c r="X510" s="26"/>
    </row>
    <row r="511" spans="24:24" ht="20.100000000000001" customHeight="1" x14ac:dyDescent="0.3">
      <c r="X511" s="26"/>
    </row>
    <row r="512" spans="24:24" ht="20.100000000000001" customHeight="1" x14ac:dyDescent="0.3">
      <c r="X512" s="26"/>
    </row>
    <row r="513" spans="24:24" ht="20.100000000000001" customHeight="1" x14ac:dyDescent="0.3">
      <c r="X513" s="26"/>
    </row>
    <row r="514" spans="24:24" ht="20.100000000000001" customHeight="1" x14ac:dyDescent="0.3">
      <c r="X514" s="26"/>
    </row>
    <row r="515" spans="24:24" ht="20.100000000000001" customHeight="1" x14ac:dyDescent="0.3">
      <c r="X515" s="26"/>
    </row>
    <row r="516" spans="24:24" ht="20.100000000000001" customHeight="1" x14ac:dyDescent="0.3">
      <c r="X516" s="26"/>
    </row>
    <row r="517" spans="24:24" ht="20.100000000000001" customHeight="1" x14ac:dyDescent="0.3">
      <c r="X517" s="26"/>
    </row>
    <row r="518" spans="24:24" ht="20.100000000000001" customHeight="1" x14ac:dyDescent="0.3">
      <c r="X518" s="26"/>
    </row>
    <row r="519" spans="24:24" ht="20.100000000000001" customHeight="1" x14ac:dyDescent="0.3">
      <c r="X519" s="26"/>
    </row>
    <row r="520" spans="24:24" ht="20.100000000000001" customHeight="1" x14ac:dyDescent="0.3">
      <c r="X520" s="26"/>
    </row>
    <row r="521" spans="24:24" ht="20.100000000000001" customHeight="1" x14ac:dyDescent="0.3">
      <c r="X521" s="26"/>
    </row>
    <row r="522" spans="24:24" ht="20.100000000000001" customHeight="1" x14ac:dyDescent="0.3">
      <c r="X522" s="26"/>
    </row>
    <row r="523" spans="24:24" ht="20.100000000000001" customHeight="1" x14ac:dyDescent="0.3">
      <c r="X523" s="26"/>
    </row>
    <row r="524" spans="24:24" ht="20.100000000000001" customHeight="1" x14ac:dyDescent="0.3">
      <c r="X524" s="26"/>
    </row>
    <row r="525" spans="24:24" ht="20.100000000000001" customHeight="1" x14ac:dyDescent="0.3">
      <c r="X525" s="26"/>
    </row>
    <row r="526" spans="24:24" ht="20.100000000000001" customHeight="1" x14ac:dyDescent="0.3">
      <c r="X526" s="26"/>
    </row>
    <row r="527" spans="24:24" ht="20.100000000000001" customHeight="1" x14ac:dyDescent="0.3">
      <c r="X527" s="26"/>
    </row>
    <row r="528" spans="24:24" ht="20.100000000000001" customHeight="1" x14ac:dyDescent="0.3">
      <c r="X528" s="26"/>
    </row>
    <row r="529" spans="24:24" ht="20.100000000000001" customHeight="1" x14ac:dyDescent="0.3">
      <c r="X529" s="26"/>
    </row>
    <row r="530" spans="24:24" ht="20.100000000000001" customHeight="1" x14ac:dyDescent="0.3">
      <c r="X530" s="26"/>
    </row>
    <row r="531" spans="24:24" ht="20.100000000000001" customHeight="1" x14ac:dyDescent="0.3">
      <c r="X531" s="26"/>
    </row>
    <row r="532" spans="24:24" ht="20.100000000000001" customHeight="1" x14ac:dyDescent="0.3">
      <c r="X532" s="26"/>
    </row>
    <row r="533" spans="24:24" ht="20.100000000000001" customHeight="1" x14ac:dyDescent="0.3">
      <c r="X533" s="26"/>
    </row>
    <row r="534" spans="24:24" ht="20.100000000000001" customHeight="1" x14ac:dyDescent="0.3">
      <c r="X534" s="26"/>
    </row>
    <row r="535" spans="24:24" ht="20.100000000000001" customHeight="1" x14ac:dyDescent="0.3">
      <c r="X535" s="26"/>
    </row>
    <row r="536" spans="24:24" ht="20.100000000000001" customHeight="1" x14ac:dyDescent="0.3">
      <c r="X536" s="26"/>
    </row>
    <row r="537" spans="24:24" ht="20.100000000000001" customHeight="1" x14ac:dyDescent="0.3">
      <c r="X537" s="26"/>
    </row>
    <row r="538" spans="24:24" ht="20.100000000000001" customHeight="1" x14ac:dyDescent="0.3">
      <c r="X538" s="26"/>
    </row>
    <row r="539" spans="24:24" ht="20.100000000000001" customHeight="1" x14ac:dyDescent="0.3">
      <c r="X539" s="26"/>
    </row>
    <row r="540" spans="24:24" ht="20.100000000000001" customHeight="1" x14ac:dyDescent="0.3">
      <c r="X540" s="26"/>
    </row>
    <row r="541" spans="24:24" ht="20.100000000000001" customHeight="1" x14ac:dyDescent="0.3">
      <c r="X541" s="26"/>
    </row>
    <row r="542" spans="24:24" ht="20.100000000000001" customHeight="1" x14ac:dyDescent="0.3">
      <c r="X542" s="26"/>
    </row>
    <row r="543" spans="24:24" ht="20.100000000000001" customHeight="1" x14ac:dyDescent="0.3">
      <c r="X543" s="26"/>
    </row>
    <row r="544" spans="24:24" ht="20.100000000000001" customHeight="1" x14ac:dyDescent="0.3">
      <c r="X544" s="26"/>
    </row>
    <row r="545" spans="24:24" ht="20.100000000000001" customHeight="1" x14ac:dyDescent="0.3">
      <c r="X545" s="26"/>
    </row>
    <row r="546" spans="24:24" ht="20.100000000000001" customHeight="1" x14ac:dyDescent="0.3">
      <c r="X546" s="26"/>
    </row>
    <row r="547" spans="24:24" ht="20.100000000000001" customHeight="1" x14ac:dyDescent="0.3">
      <c r="X547" s="26"/>
    </row>
    <row r="548" spans="24:24" ht="20.100000000000001" customHeight="1" x14ac:dyDescent="0.3">
      <c r="X548" s="26"/>
    </row>
    <row r="549" spans="24:24" ht="20.100000000000001" customHeight="1" x14ac:dyDescent="0.3">
      <c r="X549" s="26"/>
    </row>
    <row r="550" spans="24:24" ht="20.100000000000001" customHeight="1" x14ac:dyDescent="0.3">
      <c r="X550" s="26"/>
    </row>
    <row r="551" spans="24:24" ht="20.100000000000001" customHeight="1" x14ac:dyDescent="0.3">
      <c r="X551" s="26"/>
    </row>
    <row r="552" spans="24:24" ht="20.100000000000001" customHeight="1" x14ac:dyDescent="0.3">
      <c r="X552" s="26"/>
    </row>
    <row r="553" spans="24:24" ht="20.100000000000001" customHeight="1" x14ac:dyDescent="0.3">
      <c r="X553" s="26"/>
    </row>
    <row r="554" spans="24:24" ht="20.100000000000001" customHeight="1" x14ac:dyDescent="0.3">
      <c r="X554" s="26"/>
    </row>
    <row r="555" spans="24:24" ht="20.100000000000001" customHeight="1" x14ac:dyDescent="0.3">
      <c r="X555" s="26"/>
    </row>
    <row r="556" spans="24:24" ht="20.100000000000001" customHeight="1" x14ac:dyDescent="0.3">
      <c r="X556" s="26"/>
    </row>
    <row r="557" spans="24:24" ht="20.100000000000001" customHeight="1" x14ac:dyDescent="0.3">
      <c r="X557" s="26"/>
    </row>
    <row r="558" spans="24:24" ht="20.100000000000001" customHeight="1" x14ac:dyDescent="0.3">
      <c r="X558" s="26"/>
    </row>
    <row r="559" spans="24:24" ht="20.100000000000001" customHeight="1" x14ac:dyDescent="0.3">
      <c r="X559" s="26"/>
    </row>
    <row r="560" spans="24:24" ht="20.100000000000001" customHeight="1" x14ac:dyDescent="0.3">
      <c r="X560" s="26"/>
    </row>
    <row r="561" spans="24:24" ht="20.100000000000001" customHeight="1" x14ac:dyDescent="0.3">
      <c r="X561" s="26"/>
    </row>
    <row r="562" spans="24:24" ht="20.100000000000001" customHeight="1" x14ac:dyDescent="0.3">
      <c r="X562" s="26"/>
    </row>
    <row r="563" spans="24:24" ht="20.100000000000001" customHeight="1" x14ac:dyDescent="0.3">
      <c r="X563" s="26"/>
    </row>
    <row r="564" spans="24:24" ht="20.100000000000001" customHeight="1" x14ac:dyDescent="0.3">
      <c r="X564" s="26"/>
    </row>
    <row r="565" spans="24:24" ht="20.100000000000001" customHeight="1" x14ac:dyDescent="0.3">
      <c r="X565" s="26"/>
    </row>
    <row r="566" spans="24:24" ht="20.100000000000001" customHeight="1" x14ac:dyDescent="0.3">
      <c r="X566" s="26"/>
    </row>
    <row r="567" spans="24:24" ht="20.100000000000001" customHeight="1" x14ac:dyDescent="0.3">
      <c r="X567" s="26"/>
    </row>
    <row r="568" spans="24:24" ht="20.100000000000001" customHeight="1" x14ac:dyDescent="0.3">
      <c r="X568" s="26"/>
    </row>
    <row r="569" spans="24:24" ht="20.100000000000001" customHeight="1" x14ac:dyDescent="0.3">
      <c r="X569" s="26"/>
    </row>
    <row r="570" spans="24:24" ht="20.100000000000001" customHeight="1" x14ac:dyDescent="0.3">
      <c r="X570" s="26"/>
    </row>
    <row r="571" spans="24:24" ht="20.100000000000001" customHeight="1" x14ac:dyDescent="0.3">
      <c r="X571" s="26"/>
    </row>
    <row r="572" spans="24:24" ht="20.100000000000001" customHeight="1" x14ac:dyDescent="0.3">
      <c r="X572" s="26"/>
    </row>
    <row r="573" spans="24:24" ht="20.100000000000001" customHeight="1" x14ac:dyDescent="0.3">
      <c r="X573" s="26"/>
    </row>
    <row r="574" spans="24:24" ht="20.100000000000001" customHeight="1" x14ac:dyDescent="0.3">
      <c r="X574" s="26"/>
    </row>
    <row r="575" spans="24:24" ht="20.100000000000001" customHeight="1" x14ac:dyDescent="0.3">
      <c r="X575" s="26"/>
    </row>
    <row r="576" spans="24:24" ht="20.100000000000001" customHeight="1" x14ac:dyDescent="0.3">
      <c r="X576" s="26"/>
    </row>
    <row r="577" spans="24:24" ht="20.100000000000001" customHeight="1" x14ac:dyDescent="0.3">
      <c r="X577" s="26"/>
    </row>
    <row r="578" spans="24:24" ht="20.100000000000001" customHeight="1" x14ac:dyDescent="0.3">
      <c r="X578" s="26"/>
    </row>
    <row r="579" spans="24:24" ht="20.100000000000001" customHeight="1" x14ac:dyDescent="0.3">
      <c r="X579" s="26"/>
    </row>
    <row r="580" spans="24:24" ht="20.100000000000001" customHeight="1" x14ac:dyDescent="0.3">
      <c r="X580" s="26"/>
    </row>
    <row r="581" spans="24:24" ht="20.100000000000001" customHeight="1" x14ac:dyDescent="0.3">
      <c r="X581" s="26"/>
    </row>
    <row r="582" spans="24:24" ht="20.100000000000001" customHeight="1" x14ac:dyDescent="0.3">
      <c r="X582" s="26"/>
    </row>
    <row r="583" spans="24:24" ht="20.100000000000001" customHeight="1" x14ac:dyDescent="0.3">
      <c r="X583" s="26"/>
    </row>
    <row r="584" spans="24:24" ht="20.100000000000001" customHeight="1" x14ac:dyDescent="0.3">
      <c r="X584" s="26"/>
    </row>
    <row r="585" spans="24:24" ht="20.100000000000001" customHeight="1" x14ac:dyDescent="0.3">
      <c r="X585" s="26"/>
    </row>
    <row r="586" spans="24:24" ht="20.100000000000001" customHeight="1" x14ac:dyDescent="0.3">
      <c r="X586" s="26"/>
    </row>
    <row r="587" spans="24:24" ht="20.100000000000001" customHeight="1" x14ac:dyDescent="0.3">
      <c r="X587" s="26"/>
    </row>
    <row r="588" spans="24:24" ht="20.100000000000001" customHeight="1" x14ac:dyDescent="0.3">
      <c r="X588" s="26"/>
    </row>
    <row r="589" spans="24:24" ht="20.100000000000001" customHeight="1" x14ac:dyDescent="0.3">
      <c r="X589" s="26"/>
    </row>
    <row r="590" spans="24:24" ht="20.100000000000001" customHeight="1" x14ac:dyDescent="0.3">
      <c r="X590" s="26"/>
    </row>
    <row r="591" spans="24:24" ht="20.100000000000001" customHeight="1" x14ac:dyDescent="0.3">
      <c r="X591" s="26"/>
    </row>
    <row r="592" spans="24:24" ht="20.100000000000001" customHeight="1" x14ac:dyDescent="0.3">
      <c r="X592" s="26"/>
    </row>
    <row r="593" spans="24:24" ht="20.100000000000001" customHeight="1" x14ac:dyDescent="0.3">
      <c r="X593" s="26"/>
    </row>
    <row r="594" spans="24:24" ht="20.100000000000001" customHeight="1" x14ac:dyDescent="0.3">
      <c r="X594" s="26"/>
    </row>
    <row r="595" spans="24:24" ht="20.100000000000001" customHeight="1" x14ac:dyDescent="0.3">
      <c r="X595" s="26"/>
    </row>
    <row r="596" spans="24:24" ht="20.100000000000001" customHeight="1" x14ac:dyDescent="0.3">
      <c r="X596" s="26"/>
    </row>
    <row r="597" spans="24:24" ht="20.100000000000001" customHeight="1" x14ac:dyDescent="0.3">
      <c r="X597" s="26"/>
    </row>
    <row r="598" spans="24:24" ht="20.100000000000001" customHeight="1" x14ac:dyDescent="0.3">
      <c r="X598" s="26"/>
    </row>
    <row r="599" spans="24:24" ht="20.100000000000001" customHeight="1" x14ac:dyDescent="0.3">
      <c r="X599" s="26"/>
    </row>
    <row r="600" spans="24:24" ht="20.100000000000001" customHeight="1" x14ac:dyDescent="0.3">
      <c r="X600" s="26"/>
    </row>
    <row r="601" spans="24:24" ht="20.100000000000001" customHeight="1" x14ac:dyDescent="0.3">
      <c r="X601" s="26"/>
    </row>
    <row r="602" spans="24:24" ht="20.100000000000001" customHeight="1" x14ac:dyDescent="0.3">
      <c r="X602" s="26"/>
    </row>
    <row r="603" spans="24:24" ht="20.100000000000001" customHeight="1" x14ac:dyDescent="0.3">
      <c r="X603" s="26"/>
    </row>
    <row r="604" spans="24:24" ht="20.100000000000001" customHeight="1" x14ac:dyDescent="0.3">
      <c r="X604" s="26"/>
    </row>
    <row r="605" spans="24:24" ht="20.100000000000001" customHeight="1" x14ac:dyDescent="0.3">
      <c r="X605" s="26"/>
    </row>
    <row r="606" spans="24:24" ht="20.100000000000001" customHeight="1" x14ac:dyDescent="0.3">
      <c r="X606" s="26"/>
    </row>
    <row r="607" spans="24:24" ht="20.100000000000001" customHeight="1" x14ac:dyDescent="0.3">
      <c r="X607" s="26"/>
    </row>
    <row r="608" spans="24:24" ht="20.100000000000001" customHeight="1" x14ac:dyDescent="0.3">
      <c r="X608" s="26"/>
    </row>
    <row r="609" spans="24:24" ht="20.100000000000001" customHeight="1" x14ac:dyDescent="0.3">
      <c r="X609" s="26"/>
    </row>
    <row r="610" spans="24:24" ht="20.100000000000001" customHeight="1" x14ac:dyDescent="0.3">
      <c r="X610" s="26"/>
    </row>
    <row r="611" spans="24:24" ht="20.100000000000001" customHeight="1" x14ac:dyDescent="0.3">
      <c r="X611" s="26"/>
    </row>
    <row r="612" spans="24:24" ht="20.100000000000001" customHeight="1" x14ac:dyDescent="0.3">
      <c r="X612" s="26"/>
    </row>
    <row r="613" spans="24:24" ht="20.100000000000001" customHeight="1" x14ac:dyDescent="0.3">
      <c r="X613" s="26"/>
    </row>
    <row r="614" spans="24:24" ht="20.100000000000001" customHeight="1" x14ac:dyDescent="0.3">
      <c r="X614" s="26"/>
    </row>
    <row r="615" spans="24:24" ht="20.100000000000001" customHeight="1" x14ac:dyDescent="0.3">
      <c r="X615" s="26"/>
    </row>
    <row r="616" spans="24:24" ht="20.100000000000001" customHeight="1" x14ac:dyDescent="0.3">
      <c r="X616" s="26"/>
    </row>
    <row r="617" spans="24:24" ht="20.100000000000001" customHeight="1" x14ac:dyDescent="0.3">
      <c r="X617" s="26"/>
    </row>
    <row r="618" spans="24:24" ht="20.100000000000001" customHeight="1" x14ac:dyDescent="0.3">
      <c r="X618" s="26"/>
    </row>
    <row r="619" spans="24:24" ht="20.100000000000001" customHeight="1" x14ac:dyDescent="0.3">
      <c r="X619" s="26"/>
    </row>
    <row r="620" spans="24:24" ht="20.100000000000001" customHeight="1" x14ac:dyDescent="0.3">
      <c r="X620" s="26"/>
    </row>
    <row r="621" spans="24:24" ht="20.100000000000001" customHeight="1" x14ac:dyDescent="0.3">
      <c r="X621" s="26"/>
    </row>
    <row r="622" spans="24:24" ht="20.100000000000001" customHeight="1" x14ac:dyDescent="0.3">
      <c r="X622" s="26"/>
    </row>
    <row r="623" spans="24:24" ht="20.100000000000001" customHeight="1" x14ac:dyDescent="0.3">
      <c r="X623" s="26"/>
    </row>
    <row r="624" spans="24:24" ht="20.100000000000001" customHeight="1" x14ac:dyDescent="0.3">
      <c r="X624" s="26"/>
    </row>
    <row r="625" spans="24:24" ht="20.100000000000001" customHeight="1" x14ac:dyDescent="0.3">
      <c r="X625" s="26"/>
    </row>
    <row r="626" spans="24:24" ht="20.100000000000001" customHeight="1" x14ac:dyDescent="0.3">
      <c r="X626" s="26"/>
    </row>
    <row r="627" spans="24:24" ht="20.100000000000001" customHeight="1" x14ac:dyDescent="0.3">
      <c r="X627" s="26"/>
    </row>
    <row r="628" spans="24:24" ht="20.100000000000001" customHeight="1" x14ac:dyDescent="0.3">
      <c r="X628" s="26"/>
    </row>
    <row r="629" spans="24:24" ht="20.100000000000001" customHeight="1" x14ac:dyDescent="0.3">
      <c r="X629" s="26"/>
    </row>
    <row r="630" spans="24:24" ht="20.100000000000001" customHeight="1" x14ac:dyDescent="0.3">
      <c r="X630" s="26"/>
    </row>
    <row r="631" spans="24:24" ht="20.100000000000001" customHeight="1" x14ac:dyDescent="0.3">
      <c r="X631" s="26"/>
    </row>
    <row r="632" spans="24:24" ht="20.100000000000001" customHeight="1" x14ac:dyDescent="0.3">
      <c r="X632" s="26"/>
    </row>
    <row r="633" spans="24:24" ht="20.100000000000001" customHeight="1" x14ac:dyDescent="0.3">
      <c r="X633" s="26"/>
    </row>
    <row r="634" spans="24:24" ht="20.100000000000001" customHeight="1" x14ac:dyDescent="0.3">
      <c r="X634" s="26"/>
    </row>
    <row r="635" spans="24:24" ht="20.100000000000001" customHeight="1" x14ac:dyDescent="0.3">
      <c r="X635" s="26"/>
    </row>
    <row r="636" spans="24:24" ht="20.100000000000001" customHeight="1" x14ac:dyDescent="0.3">
      <c r="X636" s="26"/>
    </row>
    <row r="637" spans="24:24" ht="20.100000000000001" customHeight="1" x14ac:dyDescent="0.3">
      <c r="X637" s="26"/>
    </row>
    <row r="638" spans="24:24" ht="20.100000000000001" customHeight="1" x14ac:dyDescent="0.3">
      <c r="X638" s="26"/>
    </row>
    <row r="639" spans="24:24" ht="20.100000000000001" customHeight="1" x14ac:dyDescent="0.3">
      <c r="X639" s="26"/>
    </row>
    <row r="640" spans="24:24" ht="20.100000000000001" customHeight="1" x14ac:dyDescent="0.3">
      <c r="X640" s="26"/>
    </row>
    <row r="641" spans="24:24" ht="20.100000000000001" customHeight="1" x14ac:dyDescent="0.3">
      <c r="X641" s="26"/>
    </row>
    <row r="642" spans="24:24" ht="20.100000000000001" customHeight="1" x14ac:dyDescent="0.3">
      <c r="X642" s="26"/>
    </row>
    <row r="643" spans="24:24" ht="20.100000000000001" customHeight="1" x14ac:dyDescent="0.3">
      <c r="X643" s="26"/>
    </row>
    <row r="644" spans="24:24" ht="20.100000000000001" customHeight="1" x14ac:dyDescent="0.3">
      <c r="X644" s="26"/>
    </row>
    <row r="645" spans="24:24" ht="20.100000000000001" customHeight="1" x14ac:dyDescent="0.3">
      <c r="X645" s="26"/>
    </row>
    <row r="646" spans="24:24" ht="20.100000000000001" customHeight="1" x14ac:dyDescent="0.3">
      <c r="X646" s="26"/>
    </row>
    <row r="647" spans="24:24" ht="20.100000000000001" customHeight="1" x14ac:dyDescent="0.3">
      <c r="X647" s="26"/>
    </row>
    <row r="648" spans="24:24" ht="20.100000000000001" customHeight="1" x14ac:dyDescent="0.3">
      <c r="X648" s="26"/>
    </row>
    <row r="649" spans="24:24" ht="20.100000000000001" customHeight="1" x14ac:dyDescent="0.3">
      <c r="X649" s="26"/>
    </row>
    <row r="650" spans="24:24" ht="20.100000000000001" customHeight="1" x14ac:dyDescent="0.3">
      <c r="X650" s="26"/>
    </row>
    <row r="651" spans="24:24" ht="20.100000000000001" customHeight="1" x14ac:dyDescent="0.3">
      <c r="X651" s="26"/>
    </row>
    <row r="652" spans="24:24" ht="20.100000000000001" customHeight="1" x14ac:dyDescent="0.3">
      <c r="X652" s="26"/>
    </row>
    <row r="653" spans="24:24" ht="20.100000000000001" customHeight="1" x14ac:dyDescent="0.3">
      <c r="X653" s="26"/>
    </row>
    <row r="654" spans="24:24" ht="20.100000000000001" customHeight="1" x14ac:dyDescent="0.3">
      <c r="X654" s="26"/>
    </row>
    <row r="655" spans="24:24" ht="20.100000000000001" customHeight="1" x14ac:dyDescent="0.3">
      <c r="X655" s="26"/>
    </row>
    <row r="656" spans="24:24" ht="20.100000000000001" customHeight="1" x14ac:dyDescent="0.3">
      <c r="X656" s="26"/>
    </row>
    <row r="657" spans="24:24" ht="20.100000000000001" customHeight="1" x14ac:dyDescent="0.3">
      <c r="X657" s="26"/>
    </row>
    <row r="658" spans="24:24" ht="20.100000000000001" customHeight="1" x14ac:dyDescent="0.3">
      <c r="X658" s="26"/>
    </row>
    <row r="659" spans="24:24" ht="20.100000000000001" customHeight="1" x14ac:dyDescent="0.3">
      <c r="X659" s="26"/>
    </row>
    <row r="660" spans="24:24" ht="20.100000000000001" customHeight="1" x14ac:dyDescent="0.3">
      <c r="X660" s="26"/>
    </row>
    <row r="661" spans="24:24" ht="20.100000000000001" customHeight="1" x14ac:dyDescent="0.3">
      <c r="X661" s="26"/>
    </row>
    <row r="662" spans="24:24" ht="20.100000000000001" customHeight="1" x14ac:dyDescent="0.3">
      <c r="X662" s="26"/>
    </row>
    <row r="663" spans="24:24" ht="20.100000000000001" customHeight="1" x14ac:dyDescent="0.3">
      <c r="X663" s="26"/>
    </row>
    <row r="664" spans="24:24" ht="20.100000000000001" customHeight="1" x14ac:dyDescent="0.3">
      <c r="X664" s="26"/>
    </row>
    <row r="665" spans="24:24" ht="20.100000000000001" customHeight="1" x14ac:dyDescent="0.3">
      <c r="X665" s="26"/>
    </row>
    <row r="666" spans="24:24" ht="20.100000000000001" customHeight="1" x14ac:dyDescent="0.3">
      <c r="X666" s="26"/>
    </row>
    <row r="667" spans="24:24" ht="20.100000000000001" customHeight="1" x14ac:dyDescent="0.3">
      <c r="X667" s="26"/>
    </row>
    <row r="668" spans="24:24" ht="20.100000000000001" customHeight="1" x14ac:dyDescent="0.3">
      <c r="X668" s="26"/>
    </row>
    <row r="669" spans="24:24" ht="20.100000000000001" customHeight="1" x14ac:dyDescent="0.3">
      <c r="X669" s="26"/>
    </row>
    <row r="670" spans="24:24" ht="20.100000000000001" customHeight="1" x14ac:dyDescent="0.3">
      <c r="X670" s="26"/>
    </row>
    <row r="671" spans="24:24" ht="20.100000000000001" customHeight="1" x14ac:dyDescent="0.3">
      <c r="X671" s="26"/>
    </row>
    <row r="672" spans="24:24" ht="20.100000000000001" customHeight="1" x14ac:dyDescent="0.3">
      <c r="X672" s="26"/>
    </row>
    <row r="673" spans="24:24" ht="20.100000000000001" customHeight="1" x14ac:dyDescent="0.3">
      <c r="X673" s="26"/>
    </row>
    <row r="674" spans="24:24" ht="20.100000000000001" customHeight="1" x14ac:dyDescent="0.3">
      <c r="X674" s="26"/>
    </row>
    <row r="675" spans="24:24" ht="20.100000000000001" customHeight="1" x14ac:dyDescent="0.3">
      <c r="X675" s="26"/>
    </row>
    <row r="676" spans="24:24" ht="20.100000000000001" customHeight="1" x14ac:dyDescent="0.3">
      <c r="X676" s="26"/>
    </row>
    <row r="677" spans="24:24" ht="20.100000000000001" customHeight="1" x14ac:dyDescent="0.3">
      <c r="X677" s="26"/>
    </row>
    <row r="678" spans="24:24" ht="20.100000000000001" customHeight="1" x14ac:dyDescent="0.3">
      <c r="X678" s="26"/>
    </row>
    <row r="679" spans="24:24" ht="20.100000000000001" customHeight="1" x14ac:dyDescent="0.3">
      <c r="X679" s="26"/>
    </row>
    <row r="680" spans="24:24" ht="20.100000000000001" customHeight="1" x14ac:dyDescent="0.3">
      <c r="X680" s="26"/>
    </row>
    <row r="681" spans="24:24" ht="20.100000000000001" customHeight="1" x14ac:dyDescent="0.3">
      <c r="X681" s="26"/>
    </row>
    <row r="682" spans="24:24" ht="20.100000000000001" customHeight="1" x14ac:dyDescent="0.3">
      <c r="X682" s="26"/>
    </row>
    <row r="683" spans="24:24" ht="20.100000000000001" customHeight="1" x14ac:dyDescent="0.3">
      <c r="X683" s="26"/>
    </row>
    <row r="684" spans="24:24" ht="20.100000000000001" customHeight="1" x14ac:dyDescent="0.3">
      <c r="X684" s="26"/>
    </row>
    <row r="685" spans="24:24" ht="20.100000000000001" customHeight="1" x14ac:dyDescent="0.3">
      <c r="X685" s="26"/>
    </row>
    <row r="686" spans="24:24" ht="20.100000000000001" customHeight="1" x14ac:dyDescent="0.3">
      <c r="X686" s="26"/>
    </row>
    <row r="687" spans="24:24" ht="20.100000000000001" customHeight="1" x14ac:dyDescent="0.3">
      <c r="X687" s="26"/>
    </row>
    <row r="688" spans="24:24" ht="20.100000000000001" customHeight="1" x14ac:dyDescent="0.3">
      <c r="X688" s="26"/>
    </row>
    <row r="689" spans="24:24" ht="20.100000000000001" customHeight="1" x14ac:dyDescent="0.3">
      <c r="X689" s="26"/>
    </row>
    <row r="690" spans="24:24" ht="20.100000000000001" customHeight="1" x14ac:dyDescent="0.3">
      <c r="X690" s="26"/>
    </row>
    <row r="691" spans="24:24" ht="20.100000000000001" customHeight="1" x14ac:dyDescent="0.3">
      <c r="X691" s="26"/>
    </row>
    <row r="692" spans="24:24" ht="20.100000000000001" customHeight="1" x14ac:dyDescent="0.3">
      <c r="X692" s="26"/>
    </row>
    <row r="693" spans="24:24" ht="20.100000000000001" customHeight="1" x14ac:dyDescent="0.3">
      <c r="X693" s="26"/>
    </row>
    <row r="694" spans="24:24" ht="20.100000000000001" customHeight="1" x14ac:dyDescent="0.3">
      <c r="X694" s="26"/>
    </row>
    <row r="695" spans="24:24" ht="20.100000000000001" customHeight="1" x14ac:dyDescent="0.3">
      <c r="X695" s="26"/>
    </row>
    <row r="696" spans="24:24" ht="20.100000000000001" customHeight="1" x14ac:dyDescent="0.3">
      <c r="X696" s="26"/>
    </row>
    <row r="697" spans="24:24" ht="20.100000000000001" customHeight="1" x14ac:dyDescent="0.3">
      <c r="X697" s="26"/>
    </row>
    <row r="698" spans="24:24" ht="20.100000000000001" customHeight="1" x14ac:dyDescent="0.3">
      <c r="X698" s="26"/>
    </row>
    <row r="699" spans="24:24" ht="20.100000000000001" customHeight="1" x14ac:dyDescent="0.3">
      <c r="X699" s="26"/>
    </row>
    <row r="700" spans="24:24" ht="20.100000000000001" customHeight="1" x14ac:dyDescent="0.3">
      <c r="X700" s="26"/>
    </row>
    <row r="701" spans="24:24" ht="20.100000000000001" customHeight="1" x14ac:dyDescent="0.3">
      <c r="X701" s="26"/>
    </row>
    <row r="702" spans="24:24" ht="20.100000000000001" customHeight="1" x14ac:dyDescent="0.3">
      <c r="X702" s="26"/>
    </row>
    <row r="703" spans="24:24" ht="20.100000000000001" customHeight="1" x14ac:dyDescent="0.3">
      <c r="X703" s="26"/>
    </row>
    <row r="704" spans="24:24" ht="20.100000000000001" customHeight="1" x14ac:dyDescent="0.3">
      <c r="X704" s="26"/>
    </row>
    <row r="705" spans="24:24" ht="20.100000000000001" customHeight="1" x14ac:dyDescent="0.3">
      <c r="X705" s="26"/>
    </row>
    <row r="706" spans="24:24" ht="20.100000000000001" customHeight="1" x14ac:dyDescent="0.3">
      <c r="X706" s="26"/>
    </row>
    <row r="707" spans="24:24" ht="20.100000000000001" customHeight="1" x14ac:dyDescent="0.3">
      <c r="X707" s="26"/>
    </row>
    <row r="708" spans="24:24" ht="20.100000000000001" customHeight="1" x14ac:dyDescent="0.3">
      <c r="X708" s="26"/>
    </row>
    <row r="709" spans="24:24" ht="20.100000000000001" customHeight="1" x14ac:dyDescent="0.3">
      <c r="X709" s="26"/>
    </row>
    <row r="710" spans="24:24" ht="20.100000000000001" customHeight="1" x14ac:dyDescent="0.3">
      <c r="X710" s="26"/>
    </row>
    <row r="711" spans="24:24" ht="20.100000000000001" customHeight="1" x14ac:dyDescent="0.3">
      <c r="X711" s="26"/>
    </row>
    <row r="712" spans="24:24" ht="20.100000000000001" customHeight="1" x14ac:dyDescent="0.3">
      <c r="X712" s="26"/>
    </row>
    <row r="713" spans="24:24" ht="20.100000000000001" customHeight="1" x14ac:dyDescent="0.3">
      <c r="X713" s="26"/>
    </row>
    <row r="714" spans="24:24" ht="20.100000000000001" customHeight="1" x14ac:dyDescent="0.3">
      <c r="X714" s="26"/>
    </row>
    <row r="715" spans="24:24" ht="20.100000000000001" customHeight="1" x14ac:dyDescent="0.3">
      <c r="X715" s="26"/>
    </row>
    <row r="716" spans="24:24" ht="20.100000000000001" customHeight="1" x14ac:dyDescent="0.3">
      <c r="X716" s="26"/>
    </row>
    <row r="717" spans="24:24" ht="20.100000000000001" customHeight="1" x14ac:dyDescent="0.3">
      <c r="X717" s="26"/>
    </row>
    <row r="718" spans="24:24" ht="20.100000000000001" customHeight="1" x14ac:dyDescent="0.3">
      <c r="X718" s="26"/>
    </row>
    <row r="719" spans="24:24" ht="20.100000000000001" customHeight="1" x14ac:dyDescent="0.3">
      <c r="X719" s="26"/>
    </row>
    <row r="720" spans="24:24" ht="20.100000000000001" customHeight="1" x14ac:dyDescent="0.3">
      <c r="X720" s="26"/>
    </row>
    <row r="721" spans="24:24" ht="20.100000000000001" customHeight="1" x14ac:dyDescent="0.3">
      <c r="X721" s="26"/>
    </row>
    <row r="722" spans="24:24" ht="20.100000000000001" customHeight="1" x14ac:dyDescent="0.3">
      <c r="X722" s="26"/>
    </row>
    <row r="723" spans="24:24" ht="20.100000000000001" customHeight="1" x14ac:dyDescent="0.3">
      <c r="X723" s="26"/>
    </row>
    <row r="724" spans="24:24" ht="20.100000000000001" customHeight="1" x14ac:dyDescent="0.3">
      <c r="X724" s="26"/>
    </row>
    <row r="725" spans="24:24" ht="20.100000000000001" customHeight="1" x14ac:dyDescent="0.3">
      <c r="X725" s="26"/>
    </row>
    <row r="726" spans="24:24" ht="20.100000000000001" customHeight="1" x14ac:dyDescent="0.3">
      <c r="X726" s="26"/>
    </row>
    <row r="727" spans="24:24" ht="20.100000000000001" customHeight="1" x14ac:dyDescent="0.3">
      <c r="X727" s="26"/>
    </row>
    <row r="728" spans="24:24" ht="20.100000000000001" customHeight="1" x14ac:dyDescent="0.3">
      <c r="X728" s="26"/>
    </row>
    <row r="729" spans="24:24" ht="20.100000000000001" customHeight="1" x14ac:dyDescent="0.3">
      <c r="X729" s="26"/>
    </row>
    <row r="730" spans="24:24" ht="20.100000000000001" customHeight="1" x14ac:dyDescent="0.3">
      <c r="X730" s="26"/>
    </row>
    <row r="731" spans="24:24" ht="20.100000000000001" customHeight="1" x14ac:dyDescent="0.3">
      <c r="X731" s="26"/>
    </row>
    <row r="732" spans="24:24" ht="20.100000000000001" customHeight="1" x14ac:dyDescent="0.3">
      <c r="X732" s="26"/>
    </row>
    <row r="733" spans="24:24" ht="20.100000000000001" customHeight="1" x14ac:dyDescent="0.3">
      <c r="X733" s="26"/>
    </row>
    <row r="734" spans="24:24" ht="20.100000000000001" customHeight="1" x14ac:dyDescent="0.3">
      <c r="X734" s="26"/>
    </row>
    <row r="735" spans="24:24" ht="20.100000000000001" customHeight="1" x14ac:dyDescent="0.3">
      <c r="X735" s="26"/>
    </row>
    <row r="736" spans="24:24" ht="20.100000000000001" customHeight="1" x14ac:dyDescent="0.3">
      <c r="X736" s="26"/>
    </row>
    <row r="737" spans="24:24" ht="20.100000000000001" customHeight="1" x14ac:dyDescent="0.3">
      <c r="X737" s="26"/>
    </row>
    <row r="738" spans="24:24" ht="20.100000000000001" customHeight="1" x14ac:dyDescent="0.3">
      <c r="X738" s="26"/>
    </row>
    <row r="739" spans="24:24" ht="20.100000000000001" customHeight="1" x14ac:dyDescent="0.3">
      <c r="X739" s="26"/>
    </row>
    <row r="740" spans="24:24" ht="20.100000000000001" customHeight="1" x14ac:dyDescent="0.3">
      <c r="X740" s="26"/>
    </row>
    <row r="741" spans="24:24" ht="20.100000000000001" customHeight="1" x14ac:dyDescent="0.3">
      <c r="X741" s="26"/>
    </row>
    <row r="742" spans="24:24" ht="20.100000000000001" customHeight="1" x14ac:dyDescent="0.3">
      <c r="X742" s="26"/>
    </row>
    <row r="743" spans="24:24" ht="20.100000000000001" customHeight="1" x14ac:dyDescent="0.3">
      <c r="X743" s="26"/>
    </row>
    <row r="744" spans="24:24" ht="20.100000000000001" customHeight="1" x14ac:dyDescent="0.3">
      <c r="X744" s="26"/>
    </row>
    <row r="745" spans="24:24" ht="20.100000000000001" customHeight="1" x14ac:dyDescent="0.3">
      <c r="X745" s="26"/>
    </row>
    <row r="746" spans="24:24" ht="20.100000000000001" customHeight="1" x14ac:dyDescent="0.3">
      <c r="X746" s="26"/>
    </row>
    <row r="747" spans="24:24" ht="20.100000000000001" customHeight="1" x14ac:dyDescent="0.3">
      <c r="X747" s="26"/>
    </row>
    <row r="748" spans="24:24" ht="20.100000000000001" customHeight="1" x14ac:dyDescent="0.3">
      <c r="X748" s="26"/>
    </row>
    <row r="749" spans="24:24" ht="20.100000000000001" customHeight="1" x14ac:dyDescent="0.3">
      <c r="X749" s="26"/>
    </row>
    <row r="750" spans="24:24" ht="20.100000000000001" customHeight="1" x14ac:dyDescent="0.3">
      <c r="X750" s="26"/>
    </row>
    <row r="751" spans="24:24" ht="20.100000000000001" customHeight="1" x14ac:dyDescent="0.3">
      <c r="X751" s="26"/>
    </row>
    <row r="752" spans="24:24" ht="20.100000000000001" customHeight="1" x14ac:dyDescent="0.3">
      <c r="X752" s="26"/>
    </row>
    <row r="753" spans="24:24" ht="20.100000000000001" customHeight="1" x14ac:dyDescent="0.3">
      <c r="X753" s="26"/>
    </row>
    <row r="754" spans="24:24" ht="20.100000000000001" customHeight="1" x14ac:dyDescent="0.3">
      <c r="X754" s="26"/>
    </row>
    <row r="755" spans="24:24" ht="20.100000000000001" customHeight="1" x14ac:dyDescent="0.3">
      <c r="X755" s="26"/>
    </row>
    <row r="756" spans="24:24" ht="20.100000000000001" customHeight="1" x14ac:dyDescent="0.3">
      <c r="X756" s="26"/>
    </row>
    <row r="757" spans="24:24" ht="20.100000000000001" customHeight="1" x14ac:dyDescent="0.3">
      <c r="X757" s="26"/>
    </row>
    <row r="758" spans="24:24" ht="20.100000000000001" customHeight="1" x14ac:dyDescent="0.3">
      <c r="X758" s="26"/>
    </row>
    <row r="759" spans="24:24" ht="20.100000000000001" customHeight="1" x14ac:dyDescent="0.3">
      <c r="X759" s="26"/>
    </row>
    <row r="760" spans="24:24" ht="20.100000000000001" customHeight="1" x14ac:dyDescent="0.3">
      <c r="X760" s="26"/>
    </row>
    <row r="761" spans="24:24" ht="20.100000000000001" customHeight="1" x14ac:dyDescent="0.3">
      <c r="X761" s="26"/>
    </row>
    <row r="762" spans="24:24" ht="20.100000000000001" customHeight="1" x14ac:dyDescent="0.3">
      <c r="X762" s="26"/>
    </row>
    <row r="763" spans="24:24" ht="20.100000000000001" customHeight="1" x14ac:dyDescent="0.3">
      <c r="X763" s="26"/>
    </row>
    <row r="764" spans="24:24" ht="20.100000000000001" customHeight="1" x14ac:dyDescent="0.3">
      <c r="X764" s="26"/>
    </row>
    <row r="765" spans="24:24" ht="20.100000000000001" customHeight="1" x14ac:dyDescent="0.3">
      <c r="X765" s="26"/>
    </row>
    <row r="766" spans="24:24" ht="20.100000000000001" customHeight="1" x14ac:dyDescent="0.3">
      <c r="X766" s="26"/>
    </row>
    <row r="767" spans="24:24" ht="20.100000000000001" customHeight="1" x14ac:dyDescent="0.3">
      <c r="X767" s="26"/>
    </row>
    <row r="768" spans="24:24" ht="20.100000000000001" customHeight="1" x14ac:dyDescent="0.3">
      <c r="X768" s="26"/>
    </row>
    <row r="769" spans="24:24" ht="20.100000000000001" customHeight="1" x14ac:dyDescent="0.3">
      <c r="X769" s="26"/>
    </row>
    <row r="770" spans="24:24" ht="20.100000000000001" customHeight="1" x14ac:dyDescent="0.3">
      <c r="X770" s="26"/>
    </row>
    <row r="771" spans="24:24" ht="20.100000000000001" customHeight="1" x14ac:dyDescent="0.3">
      <c r="X771" s="26"/>
    </row>
    <row r="772" spans="24:24" ht="20.100000000000001" customHeight="1" x14ac:dyDescent="0.3">
      <c r="X772" s="26"/>
    </row>
    <row r="773" spans="24:24" ht="20.100000000000001" customHeight="1" x14ac:dyDescent="0.3">
      <c r="X773" s="26"/>
    </row>
    <row r="774" spans="24:24" ht="20.100000000000001" customHeight="1" x14ac:dyDescent="0.3">
      <c r="X774" s="26"/>
    </row>
    <row r="775" spans="24:24" ht="20.100000000000001" customHeight="1" x14ac:dyDescent="0.3">
      <c r="X775" s="26"/>
    </row>
    <row r="776" spans="24:24" ht="20.100000000000001" customHeight="1" x14ac:dyDescent="0.3">
      <c r="X776" s="26"/>
    </row>
    <row r="777" spans="24:24" ht="20.100000000000001" customHeight="1" x14ac:dyDescent="0.3">
      <c r="X777" s="26"/>
    </row>
    <row r="778" spans="24:24" ht="20.100000000000001" customHeight="1" x14ac:dyDescent="0.3">
      <c r="X778" s="26"/>
    </row>
    <row r="779" spans="24:24" ht="20.100000000000001" customHeight="1" x14ac:dyDescent="0.3">
      <c r="X779" s="26"/>
    </row>
    <row r="780" spans="24:24" ht="20.100000000000001" customHeight="1" x14ac:dyDescent="0.3">
      <c r="X780" s="26"/>
    </row>
    <row r="781" spans="24:24" ht="20.100000000000001" customHeight="1" x14ac:dyDescent="0.3">
      <c r="X781" s="26"/>
    </row>
    <row r="782" spans="24:24" ht="20.100000000000001" customHeight="1" x14ac:dyDescent="0.3">
      <c r="X782" s="26"/>
    </row>
    <row r="783" spans="24:24" ht="20.100000000000001" customHeight="1" x14ac:dyDescent="0.3">
      <c r="X783" s="26"/>
    </row>
    <row r="784" spans="24:24" ht="20.100000000000001" customHeight="1" x14ac:dyDescent="0.3">
      <c r="X784" s="26"/>
    </row>
    <row r="785" spans="24:24" ht="20.100000000000001" customHeight="1" x14ac:dyDescent="0.3">
      <c r="X785" s="26"/>
    </row>
    <row r="786" spans="24:24" ht="20.100000000000001" customHeight="1" x14ac:dyDescent="0.3">
      <c r="X786" s="26"/>
    </row>
    <row r="787" spans="24:24" ht="20.100000000000001" customHeight="1" x14ac:dyDescent="0.3">
      <c r="X787" s="26"/>
    </row>
    <row r="788" spans="24:24" ht="20.100000000000001" customHeight="1" x14ac:dyDescent="0.3">
      <c r="X788" s="26"/>
    </row>
    <row r="789" spans="24:24" ht="20.100000000000001" customHeight="1" x14ac:dyDescent="0.3">
      <c r="X789" s="26"/>
    </row>
    <row r="790" spans="24:24" ht="20.100000000000001" customHeight="1" x14ac:dyDescent="0.3">
      <c r="X790" s="26"/>
    </row>
    <row r="791" spans="24:24" ht="20.100000000000001" customHeight="1" x14ac:dyDescent="0.3">
      <c r="X791" s="26"/>
    </row>
    <row r="792" spans="24:24" ht="20.100000000000001" customHeight="1" x14ac:dyDescent="0.3">
      <c r="X792" s="26"/>
    </row>
    <row r="793" spans="24:24" ht="20.100000000000001" customHeight="1" x14ac:dyDescent="0.3">
      <c r="X793" s="26"/>
    </row>
    <row r="794" spans="24:24" ht="20.100000000000001" customHeight="1" x14ac:dyDescent="0.3">
      <c r="X794" s="26"/>
    </row>
    <row r="795" spans="24:24" ht="20.100000000000001" customHeight="1" x14ac:dyDescent="0.3">
      <c r="X795" s="26"/>
    </row>
    <row r="796" spans="24:24" ht="20.100000000000001" customHeight="1" x14ac:dyDescent="0.3">
      <c r="X796" s="26"/>
    </row>
    <row r="797" spans="24:24" ht="20.100000000000001" customHeight="1" x14ac:dyDescent="0.3">
      <c r="X797" s="26"/>
    </row>
    <row r="798" spans="24:24" ht="20.100000000000001" customHeight="1" x14ac:dyDescent="0.3">
      <c r="X798" s="26"/>
    </row>
    <row r="799" spans="24:24" ht="20.100000000000001" customHeight="1" x14ac:dyDescent="0.3">
      <c r="X799" s="26"/>
    </row>
    <row r="800" spans="24:24" ht="20.100000000000001" customHeight="1" x14ac:dyDescent="0.3">
      <c r="X800" s="26"/>
    </row>
    <row r="801" spans="24:24" ht="20.100000000000001" customHeight="1" x14ac:dyDescent="0.3">
      <c r="X801" s="26"/>
    </row>
    <row r="802" spans="24:24" ht="20.100000000000001" customHeight="1" x14ac:dyDescent="0.3">
      <c r="X802" s="26"/>
    </row>
    <row r="803" spans="24:24" ht="20.100000000000001" customHeight="1" x14ac:dyDescent="0.3">
      <c r="X803" s="26"/>
    </row>
    <row r="804" spans="24:24" ht="20.100000000000001" customHeight="1" x14ac:dyDescent="0.3">
      <c r="X804" s="26"/>
    </row>
    <row r="805" spans="24:24" ht="20.100000000000001" customHeight="1" x14ac:dyDescent="0.3">
      <c r="X805" s="26"/>
    </row>
    <row r="806" spans="24:24" ht="20.100000000000001" customHeight="1" x14ac:dyDescent="0.3">
      <c r="X806" s="26"/>
    </row>
    <row r="807" spans="24:24" ht="20.100000000000001" customHeight="1" x14ac:dyDescent="0.3">
      <c r="X807" s="26"/>
    </row>
    <row r="808" spans="24:24" ht="20.100000000000001" customHeight="1" x14ac:dyDescent="0.3">
      <c r="X808" s="26"/>
    </row>
    <row r="809" spans="24:24" ht="20.100000000000001" customHeight="1" x14ac:dyDescent="0.3">
      <c r="X809" s="26"/>
    </row>
    <row r="810" spans="24:24" ht="20.100000000000001" customHeight="1" x14ac:dyDescent="0.3">
      <c r="X810" s="26"/>
    </row>
    <row r="811" spans="24:24" ht="20.100000000000001" customHeight="1" x14ac:dyDescent="0.3">
      <c r="X811" s="26"/>
    </row>
    <row r="812" spans="24:24" ht="20.100000000000001" customHeight="1" x14ac:dyDescent="0.3">
      <c r="X812" s="26"/>
    </row>
    <row r="813" spans="24:24" ht="20.100000000000001" customHeight="1" x14ac:dyDescent="0.3">
      <c r="X813" s="26"/>
    </row>
    <row r="814" spans="24:24" ht="20.100000000000001" customHeight="1" x14ac:dyDescent="0.3">
      <c r="X814" s="26"/>
    </row>
    <row r="815" spans="24:24" ht="20.100000000000001" customHeight="1" x14ac:dyDescent="0.3">
      <c r="X815" s="26"/>
    </row>
    <row r="816" spans="24:24" ht="20.100000000000001" customHeight="1" x14ac:dyDescent="0.3">
      <c r="X816" s="26"/>
    </row>
    <row r="817" spans="24:24" ht="20.100000000000001" customHeight="1" x14ac:dyDescent="0.3">
      <c r="X817" s="26"/>
    </row>
    <row r="818" spans="24:24" ht="20.100000000000001" customHeight="1" x14ac:dyDescent="0.3">
      <c r="X818" s="26"/>
    </row>
    <row r="819" spans="24:24" ht="20.100000000000001" customHeight="1" x14ac:dyDescent="0.3">
      <c r="X819" s="26"/>
    </row>
    <row r="820" spans="24:24" ht="20.100000000000001" customHeight="1" x14ac:dyDescent="0.3">
      <c r="X820" s="26"/>
    </row>
    <row r="821" spans="24:24" ht="20.100000000000001" customHeight="1" x14ac:dyDescent="0.3">
      <c r="X821" s="26"/>
    </row>
    <row r="822" spans="24:24" ht="20.100000000000001" customHeight="1" x14ac:dyDescent="0.3">
      <c r="X822" s="26"/>
    </row>
    <row r="823" spans="24:24" ht="20.100000000000001" customHeight="1" x14ac:dyDescent="0.3">
      <c r="X823" s="26"/>
    </row>
    <row r="824" spans="24:24" ht="20.100000000000001" customHeight="1" x14ac:dyDescent="0.3">
      <c r="X824" s="26"/>
    </row>
    <row r="825" spans="24:24" ht="20.100000000000001" customHeight="1" x14ac:dyDescent="0.3">
      <c r="X825" s="26"/>
    </row>
    <row r="826" spans="24:24" ht="20.100000000000001" customHeight="1" x14ac:dyDescent="0.3">
      <c r="X826" s="26"/>
    </row>
    <row r="827" spans="24:24" ht="20.100000000000001" customHeight="1" x14ac:dyDescent="0.3">
      <c r="X827" s="26"/>
    </row>
    <row r="828" spans="24:24" ht="20.100000000000001" customHeight="1" x14ac:dyDescent="0.3">
      <c r="X828" s="26"/>
    </row>
    <row r="829" spans="24:24" ht="20.100000000000001" customHeight="1" x14ac:dyDescent="0.3">
      <c r="X829" s="26"/>
    </row>
    <row r="830" spans="24:24" ht="20.100000000000001" customHeight="1" x14ac:dyDescent="0.3">
      <c r="X830" s="26"/>
    </row>
    <row r="831" spans="24:24" ht="20.100000000000001" customHeight="1" x14ac:dyDescent="0.3">
      <c r="X831" s="26"/>
    </row>
    <row r="832" spans="24:24" ht="20.100000000000001" customHeight="1" x14ac:dyDescent="0.3">
      <c r="X832" s="26"/>
    </row>
    <row r="833" spans="24:24" ht="20.100000000000001" customHeight="1" x14ac:dyDescent="0.3">
      <c r="X833" s="26"/>
    </row>
    <row r="834" spans="24:24" ht="20.100000000000001" customHeight="1" x14ac:dyDescent="0.3">
      <c r="X834" s="26"/>
    </row>
    <row r="835" spans="24:24" ht="20.100000000000001" customHeight="1" x14ac:dyDescent="0.3">
      <c r="X835" s="26"/>
    </row>
    <row r="836" spans="24:24" ht="20.100000000000001" customHeight="1" x14ac:dyDescent="0.3">
      <c r="X836" s="26"/>
    </row>
    <row r="837" spans="24:24" ht="20.100000000000001" customHeight="1" x14ac:dyDescent="0.3">
      <c r="X837" s="26"/>
    </row>
    <row r="838" spans="24:24" ht="20.100000000000001" customHeight="1" x14ac:dyDescent="0.3">
      <c r="X838" s="26"/>
    </row>
    <row r="839" spans="24:24" ht="20.100000000000001" customHeight="1" x14ac:dyDescent="0.3">
      <c r="X839" s="26"/>
    </row>
    <row r="840" spans="24:24" ht="20.100000000000001" customHeight="1" x14ac:dyDescent="0.3">
      <c r="X840" s="26"/>
    </row>
    <row r="841" spans="24:24" ht="20.100000000000001" customHeight="1" x14ac:dyDescent="0.3">
      <c r="X841" s="26"/>
    </row>
    <row r="842" spans="24:24" ht="20.100000000000001" customHeight="1" x14ac:dyDescent="0.3">
      <c r="X842" s="26"/>
    </row>
    <row r="843" spans="24:24" ht="20.100000000000001" customHeight="1" x14ac:dyDescent="0.3">
      <c r="X843" s="26"/>
    </row>
    <row r="844" spans="24:24" ht="20.100000000000001" customHeight="1" x14ac:dyDescent="0.3">
      <c r="X844" s="26"/>
    </row>
    <row r="845" spans="24:24" ht="20.100000000000001" customHeight="1" x14ac:dyDescent="0.3">
      <c r="X845" s="26"/>
    </row>
    <row r="846" spans="24:24" ht="20.100000000000001" customHeight="1" x14ac:dyDescent="0.3">
      <c r="X846" s="26"/>
    </row>
    <row r="847" spans="24:24" ht="20.100000000000001" customHeight="1" x14ac:dyDescent="0.3">
      <c r="X847" s="26"/>
    </row>
    <row r="848" spans="24:24" ht="20.100000000000001" customHeight="1" x14ac:dyDescent="0.3">
      <c r="X848" s="26"/>
    </row>
    <row r="849" spans="24:24" ht="20.100000000000001" customHeight="1" x14ac:dyDescent="0.3">
      <c r="X849" s="26"/>
    </row>
    <row r="850" spans="24:24" ht="20.100000000000001" customHeight="1" x14ac:dyDescent="0.3">
      <c r="X850" s="26"/>
    </row>
    <row r="851" spans="24:24" ht="20.100000000000001" customHeight="1" x14ac:dyDescent="0.3">
      <c r="X851" s="26"/>
    </row>
    <row r="852" spans="24:24" ht="20.100000000000001" customHeight="1" x14ac:dyDescent="0.3">
      <c r="X852" s="26"/>
    </row>
    <row r="853" spans="24:24" ht="20.100000000000001" customHeight="1" x14ac:dyDescent="0.3">
      <c r="X853" s="26"/>
    </row>
    <row r="854" spans="24:24" ht="20.100000000000001" customHeight="1" x14ac:dyDescent="0.3">
      <c r="X854" s="26"/>
    </row>
    <row r="855" spans="24:24" ht="20.100000000000001" customHeight="1" x14ac:dyDescent="0.3">
      <c r="X855" s="26"/>
    </row>
    <row r="856" spans="24:24" ht="20.100000000000001" customHeight="1" x14ac:dyDescent="0.3">
      <c r="X856" s="26"/>
    </row>
    <row r="857" spans="24:24" ht="20.100000000000001" customHeight="1" x14ac:dyDescent="0.3">
      <c r="X857" s="26"/>
    </row>
    <row r="858" spans="24:24" ht="20.100000000000001" customHeight="1" x14ac:dyDescent="0.3">
      <c r="X858" s="26"/>
    </row>
    <row r="859" spans="24:24" ht="20.100000000000001" customHeight="1" x14ac:dyDescent="0.3">
      <c r="X859" s="26"/>
    </row>
    <row r="860" spans="24:24" ht="20.100000000000001" customHeight="1" x14ac:dyDescent="0.3">
      <c r="X860" s="26"/>
    </row>
    <row r="861" spans="24:24" ht="20.100000000000001" customHeight="1" x14ac:dyDescent="0.3">
      <c r="X861" s="26"/>
    </row>
    <row r="862" spans="24:24" ht="20.100000000000001" customHeight="1" x14ac:dyDescent="0.3">
      <c r="X862" s="26"/>
    </row>
    <row r="863" spans="24:24" ht="20.100000000000001" customHeight="1" x14ac:dyDescent="0.3">
      <c r="X863" s="26"/>
    </row>
    <row r="864" spans="24:24" ht="20.100000000000001" customHeight="1" x14ac:dyDescent="0.3">
      <c r="X864" s="26"/>
    </row>
    <row r="865" spans="24:24" ht="20.100000000000001" customHeight="1" x14ac:dyDescent="0.3">
      <c r="X865" s="26"/>
    </row>
    <row r="866" spans="24:24" ht="20.100000000000001" customHeight="1" x14ac:dyDescent="0.3">
      <c r="X866" s="26"/>
    </row>
    <row r="867" spans="24:24" ht="20.100000000000001" customHeight="1" x14ac:dyDescent="0.3">
      <c r="X867" s="26"/>
    </row>
    <row r="868" spans="24:24" ht="20.100000000000001" customHeight="1" x14ac:dyDescent="0.3">
      <c r="X868" s="26"/>
    </row>
    <row r="869" spans="24:24" ht="20.100000000000001" customHeight="1" x14ac:dyDescent="0.3">
      <c r="X869" s="26"/>
    </row>
    <row r="870" spans="24:24" ht="20.100000000000001" customHeight="1" x14ac:dyDescent="0.3">
      <c r="X870" s="26"/>
    </row>
    <row r="871" spans="24:24" ht="20.100000000000001" customHeight="1" x14ac:dyDescent="0.3">
      <c r="X871" s="26"/>
    </row>
    <row r="872" spans="24:24" ht="20.100000000000001" customHeight="1" x14ac:dyDescent="0.3">
      <c r="X872" s="26"/>
    </row>
    <row r="873" spans="24:24" ht="20.100000000000001" customHeight="1" x14ac:dyDescent="0.3">
      <c r="X873" s="26"/>
    </row>
    <row r="874" spans="24:24" ht="20.100000000000001" customHeight="1" x14ac:dyDescent="0.3">
      <c r="X874" s="26"/>
    </row>
    <row r="875" spans="24:24" ht="20.100000000000001" customHeight="1" x14ac:dyDescent="0.3">
      <c r="X875" s="26"/>
    </row>
    <row r="876" spans="24:24" ht="20.100000000000001" customHeight="1" x14ac:dyDescent="0.3">
      <c r="X876" s="26"/>
    </row>
    <row r="877" spans="24:24" ht="20.100000000000001" customHeight="1" x14ac:dyDescent="0.3">
      <c r="X877" s="26"/>
    </row>
    <row r="878" spans="24:24" ht="20.100000000000001" customHeight="1" x14ac:dyDescent="0.3">
      <c r="X878" s="26"/>
    </row>
    <row r="879" spans="24:24" ht="20.100000000000001" customHeight="1" x14ac:dyDescent="0.3">
      <c r="X879" s="26"/>
    </row>
    <row r="880" spans="24:24" ht="20.100000000000001" customHeight="1" x14ac:dyDescent="0.3">
      <c r="X880" s="26"/>
    </row>
    <row r="881" spans="24:24" ht="20.100000000000001" customHeight="1" x14ac:dyDescent="0.3">
      <c r="X881" s="26"/>
    </row>
    <row r="882" spans="24:24" ht="20.100000000000001" customHeight="1" x14ac:dyDescent="0.3">
      <c r="X882" s="26"/>
    </row>
    <row r="883" spans="24:24" ht="20.100000000000001" customHeight="1" x14ac:dyDescent="0.3">
      <c r="X883" s="26"/>
    </row>
    <row r="884" spans="24:24" ht="20.100000000000001" customHeight="1" x14ac:dyDescent="0.3">
      <c r="X884" s="26"/>
    </row>
    <row r="885" spans="24:24" ht="20.100000000000001" customHeight="1" x14ac:dyDescent="0.3">
      <c r="X885" s="26"/>
    </row>
    <row r="886" spans="24:24" ht="20.100000000000001" customHeight="1" x14ac:dyDescent="0.3">
      <c r="X886" s="26"/>
    </row>
    <row r="887" spans="24:24" ht="20.100000000000001" customHeight="1" x14ac:dyDescent="0.3">
      <c r="X887" s="26"/>
    </row>
    <row r="888" spans="24:24" ht="20.100000000000001" customHeight="1" x14ac:dyDescent="0.3">
      <c r="X888" s="26"/>
    </row>
    <row r="889" spans="24:24" ht="20.100000000000001" customHeight="1" x14ac:dyDescent="0.3">
      <c r="X889" s="26"/>
    </row>
    <row r="890" spans="24:24" ht="20.100000000000001" customHeight="1" x14ac:dyDescent="0.3">
      <c r="X890" s="26"/>
    </row>
    <row r="891" spans="24:24" ht="20.100000000000001" customHeight="1" x14ac:dyDescent="0.3">
      <c r="X891" s="26"/>
    </row>
    <row r="892" spans="24:24" ht="20.100000000000001" customHeight="1" x14ac:dyDescent="0.3">
      <c r="X892" s="26"/>
    </row>
    <row r="893" spans="24:24" ht="20.100000000000001" customHeight="1" x14ac:dyDescent="0.3">
      <c r="X893" s="26"/>
    </row>
    <row r="894" spans="24:24" ht="20.100000000000001" customHeight="1" x14ac:dyDescent="0.3">
      <c r="X894" s="26"/>
    </row>
    <row r="895" spans="24:24" ht="20.100000000000001" customHeight="1" x14ac:dyDescent="0.3">
      <c r="X895" s="26"/>
    </row>
    <row r="896" spans="24:24" ht="20.100000000000001" customHeight="1" x14ac:dyDescent="0.3">
      <c r="X896" s="26"/>
    </row>
    <row r="897" spans="24:24" ht="20.100000000000001" customHeight="1" x14ac:dyDescent="0.3">
      <c r="X897" s="26"/>
    </row>
    <row r="898" spans="24:24" ht="20.100000000000001" customHeight="1" x14ac:dyDescent="0.3">
      <c r="X898" s="26"/>
    </row>
    <row r="899" spans="24:24" ht="20.100000000000001" customHeight="1" x14ac:dyDescent="0.3">
      <c r="X899" s="26"/>
    </row>
    <row r="900" spans="24:24" ht="20.100000000000001" customHeight="1" x14ac:dyDescent="0.3">
      <c r="X900" s="26"/>
    </row>
    <row r="901" spans="24:24" ht="20.100000000000001" customHeight="1" x14ac:dyDescent="0.3">
      <c r="X901" s="26"/>
    </row>
    <row r="902" spans="24:24" ht="20.100000000000001" customHeight="1" x14ac:dyDescent="0.3">
      <c r="X902" s="26"/>
    </row>
    <row r="903" spans="24:24" ht="20.100000000000001" customHeight="1" x14ac:dyDescent="0.3">
      <c r="X903" s="26"/>
    </row>
    <row r="904" spans="24:24" ht="20.100000000000001" customHeight="1" x14ac:dyDescent="0.3">
      <c r="X904" s="26"/>
    </row>
    <row r="905" spans="24:24" ht="20.100000000000001" customHeight="1" x14ac:dyDescent="0.3">
      <c r="X905" s="26"/>
    </row>
    <row r="906" spans="24:24" ht="20.100000000000001" customHeight="1" x14ac:dyDescent="0.3">
      <c r="X906" s="26"/>
    </row>
    <row r="907" spans="24:24" ht="20.100000000000001" customHeight="1" x14ac:dyDescent="0.3">
      <c r="X907" s="26"/>
    </row>
    <row r="908" spans="24:24" ht="20.100000000000001" customHeight="1" x14ac:dyDescent="0.3">
      <c r="X908" s="26"/>
    </row>
    <row r="909" spans="24:24" ht="20.100000000000001" customHeight="1" x14ac:dyDescent="0.3">
      <c r="X909" s="26"/>
    </row>
    <row r="910" spans="24:24" ht="20.100000000000001" customHeight="1" x14ac:dyDescent="0.3">
      <c r="X910" s="26"/>
    </row>
    <row r="911" spans="24:24" ht="20.100000000000001" customHeight="1" x14ac:dyDescent="0.3">
      <c r="X911" s="26"/>
    </row>
    <row r="912" spans="24:24" ht="20.100000000000001" customHeight="1" x14ac:dyDescent="0.3">
      <c r="X912" s="26"/>
    </row>
    <row r="913" spans="24:24" ht="20.100000000000001" customHeight="1" x14ac:dyDescent="0.3">
      <c r="X913" s="26"/>
    </row>
    <row r="914" spans="24:24" ht="20.100000000000001" customHeight="1" x14ac:dyDescent="0.3">
      <c r="X914" s="26"/>
    </row>
    <row r="915" spans="24:24" ht="20.100000000000001" customHeight="1" x14ac:dyDescent="0.3">
      <c r="X915" s="26"/>
    </row>
    <row r="916" spans="24:24" ht="20.100000000000001" customHeight="1" x14ac:dyDescent="0.3">
      <c r="X916" s="26"/>
    </row>
    <row r="917" spans="24:24" ht="20.100000000000001" customHeight="1" x14ac:dyDescent="0.3">
      <c r="X917" s="26"/>
    </row>
    <row r="918" spans="24:24" ht="20.100000000000001" customHeight="1" x14ac:dyDescent="0.3">
      <c r="X918" s="26"/>
    </row>
    <row r="919" spans="24:24" ht="20.100000000000001" customHeight="1" x14ac:dyDescent="0.3">
      <c r="X919" s="26"/>
    </row>
    <row r="920" spans="24:24" ht="20.100000000000001" customHeight="1" x14ac:dyDescent="0.3">
      <c r="X920" s="26"/>
    </row>
    <row r="921" spans="24:24" ht="20.100000000000001" customHeight="1" x14ac:dyDescent="0.3">
      <c r="X921" s="26"/>
    </row>
    <row r="922" spans="24:24" ht="20.100000000000001" customHeight="1" x14ac:dyDescent="0.3">
      <c r="X922" s="26"/>
    </row>
    <row r="923" spans="24:24" ht="20.100000000000001" customHeight="1" x14ac:dyDescent="0.3">
      <c r="X923" s="26"/>
    </row>
    <row r="924" spans="24:24" ht="20.100000000000001" customHeight="1" x14ac:dyDescent="0.3">
      <c r="X924" s="26"/>
    </row>
    <row r="925" spans="24:24" ht="20.100000000000001" customHeight="1" x14ac:dyDescent="0.3">
      <c r="X925" s="26"/>
    </row>
    <row r="926" spans="24:24" ht="20.100000000000001" customHeight="1" x14ac:dyDescent="0.3">
      <c r="X926" s="26"/>
    </row>
    <row r="927" spans="24:24" ht="20.100000000000001" customHeight="1" x14ac:dyDescent="0.3">
      <c r="X927" s="26"/>
    </row>
    <row r="928" spans="24:24" ht="20.100000000000001" customHeight="1" x14ac:dyDescent="0.3">
      <c r="X928" s="26"/>
    </row>
    <row r="929" spans="24:24" ht="20.100000000000001" customHeight="1" x14ac:dyDescent="0.3">
      <c r="X929" s="26"/>
    </row>
    <row r="930" spans="24:24" ht="20.100000000000001" customHeight="1" x14ac:dyDescent="0.3">
      <c r="X930" s="26"/>
    </row>
    <row r="931" spans="24:24" ht="20.100000000000001" customHeight="1" x14ac:dyDescent="0.3">
      <c r="X931" s="26"/>
    </row>
    <row r="932" spans="24:24" ht="20.100000000000001" customHeight="1" x14ac:dyDescent="0.3">
      <c r="X932" s="26"/>
    </row>
    <row r="933" spans="24:24" ht="20.100000000000001" customHeight="1" x14ac:dyDescent="0.3">
      <c r="X933" s="26"/>
    </row>
    <row r="934" spans="24:24" ht="20.100000000000001" customHeight="1" x14ac:dyDescent="0.3">
      <c r="X934" s="26"/>
    </row>
    <row r="935" spans="24:24" ht="20.100000000000001" customHeight="1" x14ac:dyDescent="0.3">
      <c r="X935" s="26"/>
    </row>
    <row r="936" spans="24:24" ht="20.100000000000001" customHeight="1" x14ac:dyDescent="0.3">
      <c r="X936" s="26"/>
    </row>
    <row r="937" spans="24:24" ht="20.100000000000001" customHeight="1" x14ac:dyDescent="0.3">
      <c r="X937" s="26"/>
    </row>
    <row r="938" spans="24:24" ht="20.100000000000001" customHeight="1" x14ac:dyDescent="0.3">
      <c r="X938" s="26"/>
    </row>
    <row r="939" spans="24:24" ht="20.100000000000001" customHeight="1" x14ac:dyDescent="0.3">
      <c r="X939" s="26"/>
    </row>
    <row r="940" spans="24:24" ht="20.100000000000001" customHeight="1" x14ac:dyDescent="0.3">
      <c r="X940" s="26"/>
    </row>
    <row r="941" spans="24:24" ht="20.100000000000001" customHeight="1" x14ac:dyDescent="0.3">
      <c r="X941" s="26"/>
    </row>
    <row r="942" spans="24:24" ht="20.100000000000001" customHeight="1" x14ac:dyDescent="0.3">
      <c r="X942" s="26"/>
    </row>
    <row r="943" spans="24:24" ht="20.100000000000001" customHeight="1" x14ac:dyDescent="0.3">
      <c r="X943" s="26"/>
    </row>
    <row r="944" spans="24:24" ht="20.100000000000001" customHeight="1" x14ac:dyDescent="0.3">
      <c r="X944" s="26"/>
    </row>
    <row r="945" spans="24:24" ht="20.100000000000001" customHeight="1" x14ac:dyDescent="0.3">
      <c r="X945" s="26"/>
    </row>
    <row r="946" spans="24:24" ht="20.100000000000001" customHeight="1" x14ac:dyDescent="0.3">
      <c r="X946" s="26"/>
    </row>
    <row r="947" spans="24:24" ht="20.100000000000001" customHeight="1" x14ac:dyDescent="0.3">
      <c r="X947" s="26"/>
    </row>
    <row r="948" spans="24:24" ht="20.100000000000001" customHeight="1" x14ac:dyDescent="0.3">
      <c r="X948" s="26"/>
    </row>
    <row r="949" spans="24:24" ht="20.100000000000001" customHeight="1" x14ac:dyDescent="0.3">
      <c r="X949" s="26"/>
    </row>
    <row r="950" spans="24:24" ht="20.100000000000001" customHeight="1" x14ac:dyDescent="0.3">
      <c r="X950" s="26"/>
    </row>
    <row r="951" spans="24:24" ht="20.100000000000001" customHeight="1" x14ac:dyDescent="0.3">
      <c r="X951" s="26"/>
    </row>
    <row r="952" spans="24:24" ht="20.100000000000001" customHeight="1" x14ac:dyDescent="0.3">
      <c r="X952" s="26"/>
    </row>
    <row r="953" spans="24:24" ht="20.100000000000001" customHeight="1" x14ac:dyDescent="0.3">
      <c r="X953" s="26"/>
    </row>
    <row r="954" spans="24:24" ht="20.100000000000001" customHeight="1" x14ac:dyDescent="0.3">
      <c r="X954" s="26"/>
    </row>
    <row r="955" spans="24:24" ht="20.100000000000001" customHeight="1" x14ac:dyDescent="0.3">
      <c r="X955" s="26"/>
    </row>
    <row r="956" spans="24:24" ht="20.100000000000001" customHeight="1" x14ac:dyDescent="0.3">
      <c r="X956" s="26"/>
    </row>
    <row r="957" spans="24:24" ht="20.100000000000001" customHeight="1" x14ac:dyDescent="0.3">
      <c r="X957" s="26"/>
    </row>
    <row r="958" spans="24:24" ht="20.100000000000001" customHeight="1" x14ac:dyDescent="0.3">
      <c r="X958" s="26"/>
    </row>
    <row r="959" spans="24:24" ht="20.100000000000001" customHeight="1" x14ac:dyDescent="0.3">
      <c r="X959" s="26"/>
    </row>
    <row r="960" spans="24:24" ht="20.100000000000001" customHeight="1" x14ac:dyDescent="0.3">
      <c r="X960" s="26"/>
    </row>
    <row r="961" spans="24:24" ht="20.100000000000001" customHeight="1" x14ac:dyDescent="0.3">
      <c r="X961" s="26"/>
    </row>
    <row r="962" spans="24:24" ht="20.100000000000001" customHeight="1" x14ac:dyDescent="0.3">
      <c r="X962" s="26"/>
    </row>
    <row r="963" spans="24:24" ht="20.100000000000001" customHeight="1" x14ac:dyDescent="0.3">
      <c r="X963" s="26"/>
    </row>
    <row r="964" spans="24:24" ht="20.100000000000001" customHeight="1" x14ac:dyDescent="0.3">
      <c r="X964" s="26"/>
    </row>
    <row r="965" spans="24:24" ht="20.100000000000001" customHeight="1" x14ac:dyDescent="0.3">
      <c r="X965" s="26"/>
    </row>
    <row r="966" spans="24:24" ht="20.100000000000001" customHeight="1" x14ac:dyDescent="0.3">
      <c r="X966" s="26"/>
    </row>
    <row r="967" spans="24:24" ht="20.100000000000001" customHeight="1" x14ac:dyDescent="0.3">
      <c r="X967" s="26"/>
    </row>
    <row r="968" spans="24:24" ht="20.100000000000001" customHeight="1" x14ac:dyDescent="0.3">
      <c r="X968" s="26"/>
    </row>
    <row r="969" spans="24:24" ht="20.100000000000001" customHeight="1" x14ac:dyDescent="0.3">
      <c r="X969" s="26"/>
    </row>
    <row r="970" spans="24:24" ht="20.100000000000001" customHeight="1" x14ac:dyDescent="0.3">
      <c r="X970" s="26"/>
    </row>
    <row r="971" spans="24:24" ht="20.100000000000001" customHeight="1" x14ac:dyDescent="0.3">
      <c r="X971" s="26"/>
    </row>
    <row r="972" spans="24:24" ht="20.100000000000001" customHeight="1" x14ac:dyDescent="0.3">
      <c r="X972" s="26"/>
    </row>
    <row r="973" spans="24:24" ht="20.100000000000001" customHeight="1" x14ac:dyDescent="0.3">
      <c r="X973" s="26"/>
    </row>
    <row r="974" spans="24:24" ht="20.100000000000001" customHeight="1" x14ac:dyDescent="0.3">
      <c r="X974" s="26"/>
    </row>
    <row r="975" spans="24:24" ht="20.100000000000001" customHeight="1" x14ac:dyDescent="0.3">
      <c r="X975" s="26"/>
    </row>
    <row r="976" spans="24:24" ht="20.100000000000001" customHeight="1" x14ac:dyDescent="0.3">
      <c r="X976" s="26"/>
    </row>
    <row r="977" spans="24:24" ht="20.100000000000001" customHeight="1" x14ac:dyDescent="0.3">
      <c r="X977" s="26"/>
    </row>
    <row r="978" spans="24:24" ht="20.100000000000001" customHeight="1" x14ac:dyDescent="0.3">
      <c r="X978" s="26"/>
    </row>
    <row r="979" spans="24:24" ht="20.100000000000001" customHeight="1" x14ac:dyDescent="0.3">
      <c r="X979" s="26"/>
    </row>
    <row r="980" spans="24:24" ht="20.100000000000001" customHeight="1" x14ac:dyDescent="0.3">
      <c r="X980" s="26"/>
    </row>
    <row r="981" spans="24:24" ht="20.100000000000001" customHeight="1" x14ac:dyDescent="0.3">
      <c r="X981" s="26"/>
    </row>
    <row r="982" spans="24:24" ht="20.100000000000001" customHeight="1" x14ac:dyDescent="0.3">
      <c r="X982" s="26"/>
    </row>
    <row r="983" spans="24:24" ht="20.100000000000001" customHeight="1" x14ac:dyDescent="0.3">
      <c r="X983" s="26"/>
    </row>
    <row r="984" spans="24:24" ht="20.100000000000001" customHeight="1" x14ac:dyDescent="0.3">
      <c r="X984" s="26"/>
    </row>
    <row r="985" spans="24:24" ht="20.100000000000001" customHeight="1" x14ac:dyDescent="0.3">
      <c r="X985" s="26"/>
    </row>
    <row r="986" spans="24:24" ht="20.100000000000001" customHeight="1" x14ac:dyDescent="0.3">
      <c r="X986" s="26"/>
    </row>
    <row r="987" spans="24:24" ht="20.100000000000001" customHeight="1" x14ac:dyDescent="0.3">
      <c r="X987" s="26"/>
    </row>
    <row r="988" spans="24:24" ht="20.100000000000001" customHeight="1" x14ac:dyDescent="0.3">
      <c r="X988" s="26"/>
    </row>
    <row r="989" spans="24:24" ht="20.100000000000001" customHeight="1" x14ac:dyDescent="0.3">
      <c r="X989" s="26"/>
    </row>
    <row r="990" spans="24:24" ht="20.100000000000001" customHeight="1" x14ac:dyDescent="0.3">
      <c r="X990" s="26"/>
    </row>
    <row r="991" spans="24:24" ht="20.100000000000001" customHeight="1" x14ac:dyDescent="0.3">
      <c r="X991" s="26"/>
    </row>
    <row r="992" spans="24:24" ht="20.100000000000001" customHeight="1" x14ac:dyDescent="0.3">
      <c r="X992" s="26"/>
    </row>
    <row r="993" spans="24:24" ht="20.100000000000001" customHeight="1" x14ac:dyDescent="0.3">
      <c r="X993" s="26"/>
    </row>
    <row r="994" spans="24:24" ht="20.100000000000001" customHeight="1" x14ac:dyDescent="0.3">
      <c r="X994" s="26"/>
    </row>
    <row r="995" spans="24:24" ht="20.100000000000001" customHeight="1" x14ac:dyDescent="0.3">
      <c r="X995" s="26"/>
    </row>
    <row r="996" spans="24:24" ht="20.100000000000001" customHeight="1" x14ac:dyDescent="0.3">
      <c r="X996" s="26"/>
    </row>
    <row r="997" spans="24:24" ht="20.100000000000001" customHeight="1" x14ac:dyDescent="0.3">
      <c r="X997" s="26"/>
    </row>
    <row r="998" spans="24:24" ht="20.100000000000001" customHeight="1" x14ac:dyDescent="0.3">
      <c r="X998" s="26"/>
    </row>
    <row r="999" spans="24:24" ht="20.100000000000001" customHeight="1" x14ac:dyDescent="0.3">
      <c r="X999" s="26"/>
    </row>
    <row r="1000" spans="24:24" ht="20.100000000000001" customHeight="1" x14ac:dyDescent="0.3">
      <c r="X1000" s="26"/>
    </row>
    <row r="1001" spans="24:24" ht="20.100000000000001" customHeight="1" x14ac:dyDescent="0.3">
      <c r="X1001" s="26"/>
    </row>
    <row r="1002" spans="24:24" ht="20.100000000000001" customHeight="1" x14ac:dyDescent="0.3">
      <c r="X1002" s="26"/>
    </row>
    <row r="1003" spans="24:24" ht="20.100000000000001" customHeight="1" x14ac:dyDescent="0.3">
      <c r="X1003" s="26"/>
    </row>
    <row r="1004" spans="24:24" ht="20.100000000000001" customHeight="1" x14ac:dyDescent="0.3">
      <c r="X1004" s="26"/>
    </row>
    <row r="1005" spans="24:24" ht="20.100000000000001" customHeight="1" x14ac:dyDescent="0.3">
      <c r="X1005" s="26"/>
    </row>
    <row r="1006" spans="24:24" ht="20.100000000000001" customHeight="1" x14ac:dyDescent="0.3">
      <c r="X1006" s="26"/>
    </row>
    <row r="1007" spans="24:24" ht="20.100000000000001" customHeight="1" x14ac:dyDescent="0.3">
      <c r="X1007" s="26"/>
    </row>
    <row r="1008" spans="24:24" ht="20.100000000000001" customHeight="1" x14ac:dyDescent="0.3">
      <c r="X1008" s="26"/>
    </row>
    <row r="1009" spans="24:24" ht="20.100000000000001" customHeight="1" x14ac:dyDescent="0.3">
      <c r="X1009" s="26"/>
    </row>
    <row r="1010" spans="24:24" ht="20.100000000000001" customHeight="1" x14ac:dyDescent="0.3">
      <c r="X1010" s="26"/>
    </row>
    <row r="1011" spans="24:24" ht="20.100000000000001" customHeight="1" x14ac:dyDescent="0.3">
      <c r="X1011" s="26"/>
    </row>
    <row r="1012" spans="24:24" ht="20.100000000000001" customHeight="1" x14ac:dyDescent="0.3">
      <c r="X1012" s="26"/>
    </row>
    <row r="1013" spans="24:24" ht="20.100000000000001" customHeight="1" x14ac:dyDescent="0.3">
      <c r="X1013" s="26"/>
    </row>
    <row r="1014" spans="24:24" ht="20.100000000000001" customHeight="1" x14ac:dyDescent="0.3">
      <c r="X1014" s="26"/>
    </row>
    <row r="1015" spans="24:24" ht="20.100000000000001" customHeight="1" x14ac:dyDescent="0.3">
      <c r="X1015" s="26"/>
    </row>
    <row r="1016" spans="24:24" ht="20.100000000000001" customHeight="1" x14ac:dyDescent="0.3">
      <c r="X1016" s="26"/>
    </row>
    <row r="1017" spans="24:24" ht="20.100000000000001" customHeight="1" x14ac:dyDescent="0.3">
      <c r="X1017" s="26"/>
    </row>
    <row r="1018" spans="24:24" ht="20.100000000000001" customHeight="1" x14ac:dyDescent="0.3">
      <c r="X1018" s="26"/>
    </row>
    <row r="1019" spans="24:24" ht="20.100000000000001" customHeight="1" x14ac:dyDescent="0.3">
      <c r="X1019" s="26"/>
    </row>
    <row r="1020" spans="24:24" ht="20.100000000000001" customHeight="1" x14ac:dyDescent="0.3">
      <c r="X1020" s="26"/>
    </row>
    <row r="1021" spans="24:24" ht="20.100000000000001" customHeight="1" x14ac:dyDescent="0.3">
      <c r="X1021" s="26"/>
    </row>
    <row r="1022" spans="24:24" ht="20.100000000000001" customHeight="1" x14ac:dyDescent="0.3">
      <c r="X1022" s="26"/>
    </row>
    <row r="1023" spans="24:24" ht="20.100000000000001" customHeight="1" x14ac:dyDescent="0.3">
      <c r="X1023" s="26"/>
    </row>
    <row r="1024" spans="24:24" ht="20.100000000000001" customHeight="1" x14ac:dyDescent="0.3">
      <c r="X1024" s="26"/>
    </row>
    <row r="1025" spans="24:24" ht="20.100000000000001" customHeight="1" x14ac:dyDescent="0.3">
      <c r="X1025" s="26"/>
    </row>
    <row r="1026" spans="24:24" ht="20.100000000000001" customHeight="1" x14ac:dyDescent="0.3">
      <c r="X1026" s="26"/>
    </row>
    <row r="1027" spans="24:24" ht="20.100000000000001" customHeight="1" x14ac:dyDescent="0.3">
      <c r="X1027" s="26"/>
    </row>
    <row r="1028" spans="24:24" ht="20.100000000000001" customHeight="1" x14ac:dyDescent="0.3">
      <c r="X1028" s="26"/>
    </row>
    <row r="1029" spans="24:24" ht="20.100000000000001" customHeight="1" x14ac:dyDescent="0.3">
      <c r="X1029" s="26"/>
    </row>
    <row r="1030" spans="24:24" ht="20.100000000000001" customHeight="1" x14ac:dyDescent="0.3">
      <c r="X1030" s="26"/>
    </row>
    <row r="1031" spans="24:24" ht="20.100000000000001" customHeight="1" x14ac:dyDescent="0.3">
      <c r="X1031" s="26"/>
    </row>
    <row r="1032" spans="24:24" ht="20.100000000000001" customHeight="1" x14ac:dyDescent="0.3">
      <c r="X1032" s="26"/>
    </row>
    <row r="1033" spans="24:24" x14ac:dyDescent="0.3">
      <c r="X1033" s="26"/>
    </row>
    <row r="1034" spans="24:24" x14ac:dyDescent="0.3">
      <c r="X1034" s="26"/>
    </row>
    <row r="1035" spans="24:24" x14ac:dyDescent="0.3">
      <c r="X1035" s="26"/>
    </row>
    <row r="1036" spans="24:24" x14ac:dyDescent="0.3">
      <c r="X1036" s="26"/>
    </row>
    <row r="1037" spans="24:24" x14ac:dyDescent="0.3">
      <c r="X1037" s="26"/>
    </row>
    <row r="1038" spans="24:24" x14ac:dyDescent="0.3">
      <c r="X1038" s="26"/>
    </row>
    <row r="1039" spans="24:24" x14ac:dyDescent="0.3">
      <c r="X1039" s="26"/>
    </row>
    <row r="1040" spans="24:24" x14ac:dyDescent="0.3">
      <c r="X1040" s="26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F785C-1243-473B-B765-77011328C341}">
  <dimension ref="A1:BB20"/>
  <sheetViews>
    <sheetView tabSelected="1" topLeftCell="AL1" workbookViewId="0">
      <selection activeCell="L12" sqref="L12"/>
    </sheetView>
  </sheetViews>
  <sheetFormatPr defaultRowHeight="14.4" x14ac:dyDescent="0.3"/>
  <cols>
    <col min="1" max="1" width="12.5546875" bestFit="1" customWidth="1"/>
    <col min="2" max="2" width="16.44140625" bestFit="1" customWidth="1"/>
    <col min="5" max="5" width="8.88671875" style="74"/>
    <col min="6" max="6" width="14.5546875" bestFit="1" customWidth="1"/>
    <col min="10" max="10" width="8.88671875" style="74"/>
    <col min="11" max="11" width="16.5546875" bestFit="1" customWidth="1"/>
    <col min="15" max="15" width="8.88671875" style="74"/>
    <col min="16" max="16" width="12.5546875" bestFit="1" customWidth="1"/>
    <col min="17" max="17" width="17.77734375" bestFit="1" customWidth="1"/>
    <col min="20" max="20" width="8.88671875" style="74"/>
    <col min="21" max="21" width="12.5546875" bestFit="1" customWidth="1"/>
    <col min="22" max="22" width="16.44140625" bestFit="1" customWidth="1"/>
    <col min="25" max="25" width="8.88671875" style="74"/>
    <col min="26" max="26" width="12.5546875" bestFit="1" customWidth="1"/>
    <col min="27" max="27" width="16.44140625" bestFit="1" customWidth="1"/>
    <col min="30" max="30" width="8.88671875" style="74"/>
    <col min="31" max="31" width="12.5546875" bestFit="1" customWidth="1"/>
    <col min="32" max="32" width="16.44140625" bestFit="1" customWidth="1"/>
    <col min="35" max="35" width="8.88671875" style="74"/>
    <col min="36" max="36" width="15.6640625" bestFit="1" customWidth="1"/>
    <col min="37" max="37" width="16.44140625" bestFit="1" customWidth="1"/>
    <col min="40" max="40" width="8.88671875" style="74"/>
    <col min="41" max="41" width="12.5546875" bestFit="1" customWidth="1"/>
    <col min="42" max="42" width="16.44140625" bestFit="1" customWidth="1"/>
    <col min="45" max="45" width="8.88671875" style="74"/>
    <col min="46" max="46" width="34.109375" bestFit="1" customWidth="1"/>
    <col min="47" max="47" width="16.44140625" bestFit="1" customWidth="1"/>
    <col min="48" max="48" width="10" bestFit="1" customWidth="1"/>
    <col min="49" max="49" width="3.88671875" bestFit="1" customWidth="1"/>
    <col min="50" max="50" width="5.33203125" style="74" bestFit="1" customWidth="1"/>
    <col min="51" max="51" width="12.5546875" bestFit="1" customWidth="1"/>
    <col min="52" max="52" width="16.44140625" bestFit="1" customWidth="1"/>
    <col min="53" max="53" width="10.77734375" bestFit="1" customWidth="1"/>
  </cols>
  <sheetData>
    <row r="1" spans="1:54" x14ac:dyDescent="0.3">
      <c r="A1" s="77" t="s">
        <v>371</v>
      </c>
      <c r="B1" s="77"/>
      <c r="C1" s="77"/>
      <c r="D1" s="77"/>
      <c r="F1" s="77" t="s">
        <v>377</v>
      </c>
      <c r="G1" s="77"/>
      <c r="H1" s="77"/>
      <c r="I1" s="77"/>
      <c r="K1" s="77" t="s">
        <v>379</v>
      </c>
      <c r="L1" s="77"/>
      <c r="M1" s="77"/>
      <c r="N1" s="77"/>
      <c r="P1" s="77" t="s">
        <v>414</v>
      </c>
      <c r="Q1" s="77"/>
      <c r="R1" s="77"/>
      <c r="S1" s="77"/>
      <c r="U1" s="77" t="s">
        <v>417</v>
      </c>
      <c r="V1" s="77"/>
      <c r="W1" s="77"/>
      <c r="X1" s="77"/>
      <c r="Z1" s="77" t="s">
        <v>424</v>
      </c>
      <c r="AA1" s="77"/>
      <c r="AB1" s="77"/>
      <c r="AC1" s="77"/>
      <c r="AE1" s="77" t="s">
        <v>425</v>
      </c>
      <c r="AF1" s="77"/>
      <c r="AG1" s="77"/>
      <c r="AH1" s="77"/>
      <c r="AJ1" s="77" t="s">
        <v>429</v>
      </c>
      <c r="AK1" s="77"/>
      <c r="AL1" s="77"/>
      <c r="AM1" s="77"/>
      <c r="AO1" s="77" t="s">
        <v>432</v>
      </c>
      <c r="AP1" s="77"/>
      <c r="AQ1" s="77"/>
      <c r="AR1" s="77"/>
      <c r="AT1" s="77" t="s">
        <v>435</v>
      </c>
      <c r="AU1" s="77"/>
      <c r="AV1" s="77"/>
      <c r="AW1" s="77"/>
      <c r="AY1" s="85" t="s">
        <v>439</v>
      </c>
      <c r="AZ1" s="85"/>
      <c r="BA1" s="85"/>
      <c r="BB1" s="85"/>
    </row>
    <row r="2" spans="1:54" x14ac:dyDescent="0.3">
      <c r="A2" s="77"/>
      <c r="B2" s="77"/>
      <c r="C2" s="77"/>
      <c r="D2" s="77"/>
      <c r="F2" s="77"/>
      <c r="G2" s="77"/>
      <c r="H2" s="77"/>
      <c r="I2" s="77"/>
      <c r="K2" s="77"/>
      <c r="L2" s="77"/>
      <c r="M2" s="77"/>
      <c r="N2" s="77"/>
      <c r="P2" s="77"/>
      <c r="Q2" s="77"/>
      <c r="R2" s="77"/>
      <c r="S2" s="77"/>
      <c r="U2" s="77"/>
      <c r="V2" s="77"/>
      <c r="W2" s="77"/>
      <c r="X2" s="77"/>
      <c r="Z2" s="77"/>
      <c r="AA2" s="77"/>
      <c r="AB2" s="77"/>
      <c r="AC2" s="77"/>
      <c r="AE2" s="77"/>
      <c r="AF2" s="77"/>
      <c r="AG2" s="77"/>
      <c r="AH2" s="77"/>
      <c r="AJ2" s="77"/>
      <c r="AK2" s="77"/>
      <c r="AL2" s="77"/>
      <c r="AM2" s="77"/>
      <c r="AO2" s="77"/>
      <c r="AP2" s="77"/>
      <c r="AQ2" s="77"/>
      <c r="AR2" s="77"/>
      <c r="AT2" s="77"/>
      <c r="AU2" s="77"/>
      <c r="AV2" s="77"/>
      <c r="AW2" s="77"/>
      <c r="AY2" s="85"/>
      <c r="AZ2" s="85"/>
      <c r="BA2" s="85"/>
      <c r="BB2" s="85"/>
    </row>
    <row r="3" spans="1:54" x14ac:dyDescent="0.3">
      <c r="A3" s="77"/>
      <c r="B3" s="77"/>
      <c r="C3" s="77"/>
      <c r="D3" s="77"/>
      <c r="F3" s="77"/>
      <c r="G3" s="77"/>
      <c r="H3" s="77"/>
      <c r="I3" s="77"/>
      <c r="K3" s="77"/>
      <c r="L3" s="77"/>
      <c r="M3" s="77"/>
      <c r="N3" s="77"/>
      <c r="P3" s="77"/>
      <c r="Q3" s="77"/>
      <c r="R3" s="77"/>
      <c r="S3" s="77"/>
      <c r="U3" s="77"/>
      <c r="V3" s="77"/>
      <c r="W3" s="77"/>
      <c r="X3" s="77"/>
      <c r="Z3" s="77"/>
      <c r="AA3" s="77"/>
      <c r="AB3" s="77"/>
      <c r="AC3" s="77"/>
      <c r="AE3" s="77"/>
      <c r="AF3" s="77"/>
      <c r="AG3" s="77"/>
      <c r="AH3" s="77"/>
      <c r="AJ3" s="77"/>
      <c r="AK3" s="77"/>
      <c r="AL3" s="77"/>
      <c r="AM3" s="77"/>
      <c r="AO3" s="77"/>
      <c r="AP3" s="77"/>
      <c r="AQ3" s="77"/>
      <c r="AR3" s="77"/>
      <c r="AT3" s="77"/>
      <c r="AU3" s="77"/>
      <c r="AV3" s="77"/>
      <c r="AW3" s="77"/>
      <c r="AY3" s="85"/>
      <c r="AZ3" s="85"/>
      <c r="BA3" s="85"/>
      <c r="BB3" s="85"/>
    </row>
    <row r="4" spans="1:54" x14ac:dyDescent="0.3">
      <c r="A4" s="77"/>
      <c r="B4" s="77"/>
      <c r="C4" s="77"/>
      <c r="D4" s="77"/>
      <c r="F4" s="77"/>
      <c r="G4" s="77"/>
      <c r="H4" s="77"/>
      <c r="I4" s="77"/>
      <c r="K4" s="77"/>
      <c r="L4" s="77"/>
      <c r="M4" s="77"/>
      <c r="N4" s="77"/>
      <c r="P4" s="77"/>
      <c r="Q4" s="77"/>
      <c r="R4" s="77"/>
      <c r="S4" s="77"/>
      <c r="U4" s="77"/>
      <c r="V4" s="77"/>
      <c r="W4" s="77"/>
      <c r="X4" s="77"/>
      <c r="Z4" s="77"/>
      <c r="AA4" s="77"/>
      <c r="AB4" s="77"/>
      <c r="AC4" s="77"/>
      <c r="AE4" s="77"/>
      <c r="AF4" s="77"/>
      <c r="AG4" s="77"/>
      <c r="AH4" s="77"/>
      <c r="AJ4" s="77"/>
      <c r="AK4" s="77"/>
      <c r="AL4" s="77"/>
      <c r="AM4" s="77"/>
      <c r="AO4" s="77"/>
      <c r="AP4" s="77"/>
      <c r="AQ4" s="77"/>
      <c r="AR4" s="77"/>
      <c r="AT4" s="77"/>
      <c r="AU4" s="77"/>
      <c r="AV4" s="77"/>
      <c r="AW4" s="77"/>
      <c r="AY4" s="85"/>
      <c r="AZ4" s="85"/>
      <c r="BA4" s="85"/>
      <c r="BB4" s="85"/>
    </row>
    <row r="5" spans="1:54" x14ac:dyDescent="0.3">
      <c r="A5" s="77"/>
      <c r="B5" s="77"/>
      <c r="C5" s="77"/>
      <c r="D5" s="77"/>
      <c r="F5" s="77"/>
      <c r="G5" s="77"/>
      <c r="H5" s="77"/>
      <c r="I5" s="77"/>
      <c r="K5" s="77"/>
      <c r="L5" s="77"/>
      <c r="M5" s="77"/>
      <c r="N5" s="77"/>
      <c r="P5" s="77"/>
      <c r="Q5" s="77"/>
      <c r="R5" s="77"/>
      <c r="S5" s="77"/>
      <c r="U5" s="77"/>
      <c r="V5" s="77"/>
      <c r="W5" s="77"/>
      <c r="X5" s="77"/>
      <c r="Z5" s="77"/>
      <c r="AA5" s="77"/>
      <c r="AB5" s="77"/>
      <c r="AC5" s="77"/>
      <c r="AE5" s="77"/>
      <c r="AF5" s="77"/>
      <c r="AG5" s="77"/>
      <c r="AH5" s="77"/>
      <c r="AJ5" s="77"/>
      <c r="AK5" s="77"/>
      <c r="AL5" s="77"/>
      <c r="AM5" s="77"/>
      <c r="AO5" s="77"/>
      <c r="AP5" s="77"/>
      <c r="AQ5" s="77"/>
      <c r="AR5" s="77"/>
      <c r="AT5" s="77"/>
      <c r="AU5" s="77"/>
      <c r="AV5" s="77"/>
      <c r="AW5" s="77"/>
      <c r="AY5" s="85"/>
      <c r="AZ5" s="85"/>
      <c r="BA5" s="85"/>
      <c r="BB5" s="85"/>
    </row>
    <row r="8" spans="1:54" x14ac:dyDescent="0.3">
      <c r="A8" s="72" t="s">
        <v>368</v>
      </c>
      <c r="B8" t="s">
        <v>370</v>
      </c>
      <c r="F8" t="s">
        <v>376</v>
      </c>
      <c r="K8" t="s">
        <v>378</v>
      </c>
      <c r="P8" s="72" t="s">
        <v>368</v>
      </c>
      <c r="Q8" t="s">
        <v>413</v>
      </c>
      <c r="U8" s="72" t="s">
        <v>368</v>
      </c>
      <c r="V8" t="s">
        <v>370</v>
      </c>
      <c r="Z8" s="72" t="s">
        <v>368</v>
      </c>
      <c r="AA8" t="s">
        <v>370</v>
      </c>
      <c r="AE8" s="72" t="s">
        <v>368</v>
      </c>
      <c r="AF8" t="s">
        <v>370</v>
      </c>
      <c r="AJ8" s="72" t="s">
        <v>368</v>
      </c>
      <c r="AK8" t="s">
        <v>370</v>
      </c>
      <c r="AO8" s="72" t="s">
        <v>368</v>
      </c>
      <c r="AP8" t="s">
        <v>370</v>
      </c>
      <c r="AT8" s="72" t="s">
        <v>368</v>
      </c>
      <c r="AU8" t="s">
        <v>370</v>
      </c>
      <c r="AY8" s="72" t="s">
        <v>368</v>
      </c>
      <c r="AZ8" t="s">
        <v>438</v>
      </c>
    </row>
    <row r="9" spans="1:54" x14ac:dyDescent="0.3">
      <c r="A9" s="73" t="s">
        <v>148</v>
      </c>
      <c r="B9" s="78">
        <v>88</v>
      </c>
      <c r="F9" s="76">
        <v>1292885.81544</v>
      </c>
      <c r="K9" s="78">
        <v>126</v>
      </c>
      <c r="P9" s="73" t="s">
        <v>156</v>
      </c>
      <c r="Q9" s="71">
        <v>22000</v>
      </c>
      <c r="U9" s="73" t="s">
        <v>7</v>
      </c>
      <c r="V9" s="78">
        <v>78</v>
      </c>
      <c r="Z9" s="73" t="s">
        <v>334</v>
      </c>
      <c r="AA9" s="78">
        <v>46</v>
      </c>
      <c r="AE9" s="73" t="s">
        <v>170</v>
      </c>
      <c r="AF9" s="78">
        <v>7</v>
      </c>
      <c r="AJ9" s="73" t="s">
        <v>427</v>
      </c>
      <c r="AK9" s="81">
        <v>0.42857142857142855</v>
      </c>
      <c r="AO9" s="73" t="s">
        <v>196</v>
      </c>
      <c r="AP9" s="80">
        <v>0.83606557377049184</v>
      </c>
      <c r="AT9" s="73" t="s">
        <v>344</v>
      </c>
      <c r="AU9" s="78">
        <v>60</v>
      </c>
      <c r="AY9" s="73" t="s">
        <v>436</v>
      </c>
      <c r="AZ9" s="78">
        <v>91</v>
      </c>
    </row>
    <row r="10" spans="1:54" x14ac:dyDescent="0.3">
      <c r="A10" s="73" t="s">
        <v>159</v>
      </c>
      <c r="B10" s="78">
        <v>18</v>
      </c>
      <c r="P10" s="73" t="s">
        <v>159</v>
      </c>
      <c r="Q10" s="71">
        <v>14290.777777777777</v>
      </c>
      <c r="U10" s="73" t="s">
        <v>51</v>
      </c>
      <c r="V10" s="78">
        <v>16</v>
      </c>
      <c r="Z10" s="73" t="s">
        <v>333</v>
      </c>
      <c r="AA10" s="78">
        <v>37</v>
      </c>
      <c r="AE10" s="73" t="s">
        <v>334</v>
      </c>
      <c r="AF10" s="78">
        <v>6</v>
      </c>
      <c r="AJ10" s="73" t="s">
        <v>431</v>
      </c>
      <c r="AK10" s="81">
        <v>0.31746031746031744</v>
      </c>
      <c r="AO10" s="73" t="s">
        <v>234</v>
      </c>
      <c r="AP10" s="80">
        <v>0.12295081967213115</v>
      </c>
      <c r="AT10" s="73" t="s">
        <v>339</v>
      </c>
      <c r="AU10" s="78">
        <v>24</v>
      </c>
      <c r="AY10" s="73" t="s">
        <v>437</v>
      </c>
      <c r="AZ10" s="78">
        <v>35</v>
      </c>
    </row>
    <row r="11" spans="1:54" x14ac:dyDescent="0.3">
      <c r="A11" s="73" t="s">
        <v>155</v>
      </c>
      <c r="B11" s="78">
        <v>17</v>
      </c>
      <c r="P11" s="73" t="s">
        <v>217</v>
      </c>
      <c r="Q11" s="71">
        <v>10000</v>
      </c>
      <c r="U11" s="73" t="s">
        <v>415</v>
      </c>
      <c r="V11" s="78">
        <v>13</v>
      </c>
      <c r="Z11" s="73" t="s">
        <v>170</v>
      </c>
      <c r="AA11" s="78">
        <v>6</v>
      </c>
      <c r="AE11" s="73" t="s">
        <v>300</v>
      </c>
      <c r="AF11" s="78">
        <v>3</v>
      </c>
      <c r="AJ11" s="73" t="s">
        <v>428</v>
      </c>
      <c r="AK11" s="81">
        <v>0.25396825396825395</v>
      </c>
      <c r="AO11" s="73" t="s">
        <v>190</v>
      </c>
      <c r="AP11" s="80">
        <v>2.4590163934426229E-2</v>
      </c>
      <c r="AT11" s="73" t="s">
        <v>348</v>
      </c>
      <c r="AU11" s="78">
        <v>11</v>
      </c>
      <c r="AY11" s="73" t="s">
        <v>369</v>
      </c>
      <c r="AZ11" s="78">
        <v>126</v>
      </c>
    </row>
    <row r="12" spans="1:54" x14ac:dyDescent="0.3">
      <c r="A12" s="73" t="s">
        <v>160</v>
      </c>
      <c r="B12" s="78">
        <v>1</v>
      </c>
      <c r="G12">
        <f>GETPIVOTDATA("سعر البيع ",$F$8)</f>
        <v>1292885.81544</v>
      </c>
      <c r="L12">
        <f>GETPIVOTDATA("أسم العميل",$K$8)</f>
        <v>126</v>
      </c>
      <c r="P12" s="73" t="s">
        <v>148</v>
      </c>
      <c r="Q12" s="71">
        <v>9585.747902727273</v>
      </c>
      <c r="U12" s="73" t="s">
        <v>42</v>
      </c>
      <c r="V12" s="78">
        <v>9</v>
      </c>
      <c r="Z12" s="73" t="s">
        <v>168</v>
      </c>
      <c r="AA12" s="78">
        <v>3</v>
      </c>
      <c r="AE12" s="73" t="s">
        <v>421</v>
      </c>
      <c r="AF12" s="78">
        <v>3</v>
      </c>
      <c r="AJ12" s="73" t="s">
        <v>369</v>
      </c>
      <c r="AK12" s="81">
        <v>1</v>
      </c>
      <c r="AO12" s="73" t="s">
        <v>434</v>
      </c>
      <c r="AP12" s="80">
        <v>8.1967213114754103E-3</v>
      </c>
      <c r="AT12" s="73" t="s">
        <v>349</v>
      </c>
      <c r="AU12" s="78">
        <v>8</v>
      </c>
    </row>
    <row r="13" spans="1:54" x14ac:dyDescent="0.3">
      <c r="A13" s="73" t="s">
        <v>156</v>
      </c>
      <c r="B13" s="78">
        <v>1</v>
      </c>
      <c r="P13" s="73" t="s">
        <v>160</v>
      </c>
      <c r="Q13" s="71">
        <v>9300</v>
      </c>
      <c r="U13" s="73" t="s">
        <v>210</v>
      </c>
      <c r="V13" s="78">
        <v>4</v>
      </c>
      <c r="Z13" s="73" t="s">
        <v>245</v>
      </c>
      <c r="AA13" s="78">
        <v>3</v>
      </c>
      <c r="AE13" s="73" t="s">
        <v>257</v>
      </c>
      <c r="AF13" s="78">
        <v>3</v>
      </c>
      <c r="AO13" s="73" t="s">
        <v>206</v>
      </c>
      <c r="AP13" s="80">
        <v>8.1967213114754103E-3</v>
      </c>
      <c r="AT13" s="73" t="s">
        <v>340</v>
      </c>
      <c r="AU13" s="78">
        <v>5</v>
      </c>
    </row>
    <row r="14" spans="1:54" x14ac:dyDescent="0.3">
      <c r="A14" s="73" t="s">
        <v>217</v>
      </c>
      <c r="B14" s="78">
        <v>1</v>
      </c>
      <c r="P14" s="73" t="s">
        <v>155</v>
      </c>
      <c r="Q14" s="71">
        <v>8870.9411764705874</v>
      </c>
      <c r="U14" s="73" t="s">
        <v>34</v>
      </c>
      <c r="V14" s="78">
        <v>3</v>
      </c>
      <c r="Z14" s="73" t="s">
        <v>232</v>
      </c>
      <c r="AA14" s="78">
        <v>2</v>
      </c>
      <c r="AE14" s="73" t="s">
        <v>333</v>
      </c>
      <c r="AF14" s="78">
        <v>2</v>
      </c>
      <c r="AO14" s="73" t="s">
        <v>369</v>
      </c>
      <c r="AP14" s="80">
        <v>1</v>
      </c>
      <c r="AT14" s="73" t="s">
        <v>359</v>
      </c>
      <c r="AU14" s="78">
        <v>4</v>
      </c>
    </row>
    <row r="15" spans="1:54" x14ac:dyDescent="0.3">
      <c r="A15" s="73" t="s">
        <v>369</v>
      </c>
      <c r="B15" s="78">
        <v>126</v>
      </c>
      <c r="P15" s="73" t="s">
        <v>369</v>
      </c>
      <c r="Q15" s="78">
        <v>10260.998535238095</v>
      </c>
      <c r="U15" s="73" t="s">
        <v>261</v>
      </c>
      <c r="V15" s="78">
        <v>2</v>
      </c>
      <c r="Z15" s="73" t="s">
        <v>174</v>
      </c>
      <c r="AA15" s="78">
        <v>2</v>
      </c>
      <c r="AE15" s="73" t="s">
        <v>216</v>
      </c>
      <c r="AF15" s="78">
        <v>2</v>
      </c>
      <c r="AT15" s="73" t="s">
        <v>343</v>
      </c>
      <c r="AU15" s="78">
        <v>3</v>
      </c>
    </row>
    <row r="16" spans="1:54" x14ac:dyDescent="0.3">
      <c r="U16" s="73" t="s">
        <v>416</v>
      </c>
      <c r="V16" s="78">
        <v>1</v>
      </c>
      <c r="Z16" s="73" t="s">
        <v>418</v>
      </c>
      <c r="AA16" s="78">
        <v>2</v>
      </c>
      <c r="AE16" s="73" t="s">
        <v>243</v>
      </c>
      <c r="AF16" s="78">
        <v>1</v>
      </c>
      <c r="AT16" s="73" t="s">
        <v>342</v>
      </c>
      <c r="AU16" s="78">
        <v>2</v>
      </c>
    </row>
    <row r="17" spans="2:47" x14ac:dyDescent="0.3">
      <c r="B17" t="s">
        <v>372</v>
      </c>
      <c r="C17" t="s">
        <v>373</v>
      </c>
      <c r="D17">
        <f>GETPIVOTDATA("Column1",$A$8,"Column1","سرير")</f>
        <v>88</v>
      </c>
      <c r="U17" s="73" t="s">
        <v>369</v>
      </c>
      <c r="V17" s="78">
        <v>126</v>
      </c>
      <c r="Z17" s="73" t="s">
        <v>171</v>
      </c>
      <c r="AA17" s="78">
        <v>2</v>
      </c>
      <c r="AE17" s="73" t="s">
        <v>316</v>
      </c>
      <c r="AF17" s="78">
        <v>1</v>
      </c>
      <c r="AT17" s="73" t="s">
        <v>357</v>
      </c>
      <c r="AU17" s="78">
        <v>1</v>
      </c>
    </row>
    <row r="18" spans="2:47" ht="43.2" x14ac:dyDescent="0.3">
      <c r="B18" t="s">
        <v>374</v>
      </c>
      <c r="C18" s="75" t="s">
        <v>375</v>
      </c>
      <c r="D18">
        <f>GETPIVOTDATA("Column1",$A$8,"Column1","شيزلونج")</f>
        <v>1</v>
      </c>
      <c r="Z18" s="73" t="s">
        <v>421</v>
      </c>
      <c r="AA18" s="78">
        <v>1</v>
      </c>
      <c r="AE18" s="73" t="s">
        <v>214</v>
      </c>
      <c r="AF18" s="78">
        <v>1</v>
      </c>
      <c r="AT18" s="73" t="s">
        <v>369</v>
      </c>
      <c r="AU18" s="78">
        <v>118</v>
      </c>
    </row>
    <row r="19" spans="2:47" x14ac:dyDescent="0.3">
      <c r="Z19" s="73" t="s">
        <v>212</v>
      </c>
      <c r="AA19" s="78">
        <v>1</v>
      </c>
      <c r="AE19" s="73" t="s">
        <v>419</v>
      </c>
      <c r="AF19" s="78">
        <v>1</v>
      </c>
    </row>
    <row r="20" spans="2:47" x14ac:dyDescent="0.3">
      <c r="Z20" s="73" t="s">
        <v>369</v>
      </c>
      <c r="AA20" s="78">
        <v>105</v>
      </c>
      <c r="AE20" s="73" t="s">
        <v>369</v>
      </c>
      <c r="AF20" s="78">
        <v>30</v>
      </c>
    </row>
  </sheetData>
  <mergeCells count="11">
    <mergeCell ref="AY1:BB5"/>
    <mergeCell ref="Z1:AC5"/>
    <mergeCell ref="AE1:AH5"/>
    <mergeCell ref="AJ1:AM5"/>
    <mergeCell ref="AO1:AR5"/>
    <mergeCell ref="AT1:AW5"/>
    <mergeCell ref="A1:D5"/>
    <mergeCell ref="F1:I5"/>
    <mergeCell ref="K1:N5"/>
    <mergeCell ref="P1:S5"/>
    <mergeCell ref="U1:X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D0475-72D2-4D9F-9EDF-6F22179CE98D}">
  <dimension ref="A1:T1040"/>
  <sheetViews>
    <sheetView rightToLeft="1" zoomScaleNormal="100" workbookViewId="0">
      <selection activeCell="E1" sqref="E1"/>
    </sheetView>
  </sheetViews>
  <sheetFormatPr defaultColWidth="8.88671875" defaultRowHeight="14.4" x14ac:dyDescent="0.3"/>
  <cols>
    <col min="1" max="1" width="8.33203125" style="26" bestFit="1" customWidth="1"/>
    <col min="2" max="2" width="16" style="26" bestFit="1" customWidth="1"/>
    <col min="3" max="3" width="15.5546875" style="26" bestFit="1" customWidth="1"/>
    <col min="4" max="4" width="16.33203125" style="26" bestFit="1" customWidth="1"/>
    <col min="5" max="5" width="30.88671875" style="26" bestFit="1" customWidth="1"/>
    <col min="6" max="6" width="16.109375" style="26" bestFit="1" customWidth="1"/>
    <col min="7" max="7" width="21.21875" style="26" customWidth="1"/>
    <col min="8" max="8" width="16.109375" style="26" customWidth="1"/>
    <col min="9" max="9" width="11.88671875" style="26" bestFit="1" customWidth="1"/>
    <col min="10" max="10" width="13" style="26" bestFit="1" customWidth="1"/>
    <col min="11" max="11" width="17.109375" style="26" bestFit="1" customWidth="1"/>
    <col min="12" max="12" width="16.109375" style="26" bestFit="1" customWidth="1"/>
    <col min="13" max="13" width="36.109375" style="26" bestFit="1" customWidth="1"/>
    <col min="14" max="14" width="15" style="26" bestFit="1" customWidth="1"/>
    <col min="15" max="15" width="17.21875" style="27" bestFit="1" customWidth="1"/>
    <col min="16" max="16" width="16.77734375" style="26" bestFit="1" customWidth="1"/>
    <col min="17" max="17" width="17.5546875" style="26" bestFit="1" customWidth="1"/>
    <col min="18" max="18" width="23.88671875" style="26" bestFit="1" customWidth="1"/>
    <col min="19" max="19" width="28" style="26" bestFit="1" customWidth="1"/>
    <col min="20" max="20" width="11.33203125" style="28" bestFit="1" customWidth="1"/>
    <col min="21" max="16384" width="8.88671875" style="1"/>
  </cols>
  <sheetData>
    <row r="1" spans="1:20" ht="20.100000000000001" customHeight="1" x14ac:dyDescent="0.3">
      <c r="A1" s="50" t="s">
        <v>5</v>
      </c>
      <c r="B1" s="51" t="s">
        <v>179</v>
      </c>
      <c r="C1" s="51" t="s">
        <v>180</v>
      </c>
      <c r="D1" s="51" t="s">
        <v>0</v>
      </c>
      <c r="E1" s="51" t="s">
        <v>1</v>
      </c>
      <c r="F1" s="51" t="s">
        <v>6</v>
      </c>
      <c r="G1" s="51" t="s">
        <v>331</v>
      </c>
      <c r="H1" s="51" t="s">
        <v>332</v>
      </c>
      <c r="I1" s="51" t="s">
        <v>172</v>
      </c>
      <c r="J1" s="51" t="s">
        <v>173</v>
      </c>
      <c r="K1" s="51" t="s">
        <v>177</v>
      </c>
      <c r="L1" s="51" t="s">
        <v>178</v>
      </c>
      <c r="M1" s="50" t="s">
        <v>2</v>
      </c>
      <c r="N1" s="51" t="s">
        <v>8</v>
      </c>
      <c r="O1" s="52" t="s">
        <v>9</v>
      </c>
      <c r="P1" s="51" t="s">
        <v>11</v>
      </c>
      <c r="Q1" s="51" t="s">
        <v>10</v>
      </c>
      <c r="R1" s="51" t="s">
        <v>3</v>
      </c>
      <c r="S1" s="51" t="s">
        <v>4</v>
      </c>
      <c r="T1" s="53" t="s">
        <v>188</v>
      </c>
    </row>
    <row r="2" spans="1:20" ht="20.100000000000001" customHeight="1" x14ac:dyDescent="0.3">
      <c r="A2" s="48">
        <v>1</v>
      </c>
      <c r="B2" s="61"/>
      <c r="C2" s="61"/>
      <c r="D2" s="30" t="s">
        <v>12</v>
      </c>
      <c r="E2" s="30" t="s">
        <v>13</v>
      </c>
      <c r="F2" s="30" t="s">
        <v>7</v>
      </c>
      <c r="G2" s="30" t="s">
        <v>148</v>
      </c>
      <c r="H2" s="30" t="s">
        <v>149</v>
      </c>
      <c r="I2" s="30"/>
      <c r="J2" s="30"/>
      <c r="K2" s="30"/>
      <c r="L2" s="30"/>
      <c r="M2" s="5" t="s">
        <v>14</v>
      </c>
      <c r="N2" s="30">
        <v>10160</v>
      </c>
      <c r="O2" s="31" t="s">
        <v>15</v>
      </c>
      <c r="P2" s="30" t="s">
        <v>16</v>
      </c>
      <c r="Q2" s="30" t="s">
        <v>17</v>
      </c>
      <c r="R2" s="32">
        <v>45514</v>
      </c>
      <c r="S2" s="30" t="s">
        <v>27</v>
      </c>
      <c r="T2" s="30" t="s">
        <v>189</v>
      </c>
    </row>
    <row r="3" spans="1:20" ht="20.100000000000001" customHeight="1" x14ac:dyDescent="0.3">
      <c r="A3" s="23">
        <v>2</v>
      </c>
      <c r="B3" s="62"/>
      <c r="C3" s="62"/>
      <c r="D3" s="5" t="s">
        <v>17</v>
      </c>
      <c r="E3" s="5" t="s">
        <v>18</v>
      </c>
      <c r="F3" s="5" t="s">
        <v>7</v>
      </c>
      <c r="G3" s="5" t="s">
        <v>148</v>
      </c>
      <c r="H3" s="5" t="s">
        <v>149</v>
      </c>
      <c r="I3" s="5"/>
      <c r="J3" s="5"/>
      <c r="K3" s="5"/>
      <c r="L3" s="5"/>
      <c r="M3" s="5" t="s">
        <v>19</v>
      </c>
      <c r="N3" s="5">
        <v>10160</v>
      </c>
      <c r="O3" s="6">
        <v>9749</v>
      </c>
      <c r="P3" s="5" t="s">
        <v>20</v>
      </c>
      <c r="Q3" s="5" t="s">
        <v>17</v>
      </c>
      <c r="R3" s="33">
        <v>45515</v>
      </c>
      <c r="S3" s="5" t="s">
        <v>27</v>
      </c>
      <c r="T3" s="5" t="s">
        <v>189</v>
      </c>
    </row>
    <row r="4" spans="1:20" ht="20.100000000000001" customHeight="1" x14ac:dyDescent="0.3">
      <c r="A4" s="24">
        <v>3</v>
      </c>
      <c r="B4" s="63"/>
      <c r="C4" s="63"/>
      <c r="D4" s="11" t="s">
        <v>21</v>
      </c>
      <c r="E4" s="11" t="s">
        <v>22</v>
      </c>
      <c r="F4" s="11" t="s">
        <v>7</v>
      </c>
      <c r="G4" s="11" t="s">
        <v>148</v>
      </c>
      <c r="H4" s="11" t="s">
        <v>163</v>
      </c>
      <c r="I4" s="11" t="s">
        <v>153</v>
      </c>
      <c r="J4" s="11">
        <v>90</v>
      </c>
      <c r="K4" s="11" t="s">
        <v>168</v>
      </c>
      <c r="L4" s="11"/>
      <c r="M4" s="11" t="s">
        <v>23</v>
      </c>
      <c r="N4" s="11">
        <v>11455</v>
      </c>
      <c r="O4" s="8">
        <v>10067.68</v>
      </c>
      <c r="P4" s="11" t="s">
        <v>16</v>
      </c>
      <c r="Q4" s="11" t="s">
        <v>25</v>
      </c>
      <c r="R4" s="11"/>
      <c r="S4" s="11" t="s">
        <v>36</v>
      </c>
      <c r="T4" s="11" t="s">
        <v>190</v>
      </c>
    </row>
    <row r="5" spans="1:20" ht="20.100000000000001" customHeight="1" x14ac:dyDescent="0.3">
      <c r="A5" s="23">
        <v>4</v>
      </c>
      <c r="B5" s="62"/>
      <c r="C5" s="62"/>
      <c r="D5" s="5" t="s">
        <v>24</v>
      </c>
      <c r="E5" s="5" t="s">
        <v>25</v>
      </c>
      <c r="F5" s="5" t="s">
        <v>7</v>
      </c>
      <c r="G5" s="5" t="s">
        <v>155</v>
      </c>
      <c r="H5" s="5"/>
      <c r="I5" s="5"/>
      <c r="J5" s="5"/>
      <c r="K5" s="5"/>
      <c r="L5" s="5"/>
      <c r="M5" s="5" t="s">
        <v>26</v>
      </c>
      <c r="N5" s="5">
        <v>8642</v>
      </c>
      <c r="O5" s="6" t="s">
        <v>15</v>
      </c>
      <c r="P5" s="7">
        <v>45529</v>
      </c>
      <c r="Q5" s="7">
        <v>45542</v>
      </c>
      <c r="R5" s="7">
        <v>45531</v>
      </c>
      <c r="S5" s="5" t="s">
        <v>27</v>
      </c>
      <c r="T5" s="5" t="s">
        <v>189</v>
      </c>
    </row>
    <row r="6" spans="1:20" ht="20.100000000000001" customHeight="1" x14ac:dyDescent="0.3">
      <c r="A6" s="24">
        <v>5</v>
      </c>
      <c r="B6" s="63"/>
      <c r="C6" s="63"/>
      <c r="D6" s="11" t="s">
        <v>28</v>
      </c>
      <c r="E6" s="11" t="s">
        <v>22</v>
      </c>
      <c r="F6" s="11" t="s">
        <v>7</v>
      </c>
      <c r="G6" s="11" t="s">
        <v>148</v>
      </c>
      <c r="H6" s="11" t="s">
        <v>163</v>
      </c>
      <c r="I6" s="11" t="s">
        <v>150</v>
      </c>
      <c r="J6" s="11">
        <v>100</v>
      </c>
      <c r="K6" s="11" t="s">
        <v>170</v>
      </c>
      <c r="L6" s="11"/>
      <c r="M6" s="11" t="s">
        <v>29</v>
      </c>
      <c r="N6" s="11">
        <v>12833</v>
      </c>
      <c r="O6" s="8">
        <v>12974.22</v>
      </c>
      <c r="P6" s="9">
        <v>45520</v>
      </c>
      <c r="Q6" s="9">
        <v>45535</v>
      </c>
      <c r="R6" s="9"/>
      <c r="S6" s="11" t="s">
        <v>36</v>
      </c>
      <c r="T6" s="11" t="s">
        <v>190</v>
      </c>
    </row>
    <row r="7" spans="1:20" ht="20.100000000000001" customHeight="1" x14ac:dyDescent="0.3">
      <c r="A7" s="23">
        <v>6</v>
      </c>
      <c r="B7" s="62"/>
      <c r="C7" s="62"/>
      <c r="D7" s="5" t="s">
        <v>30</v>
      </c>
      <c r="E7" s="5"/>
      <c r="F7" s="5" t="s">
        <v>30</v>
      </c>
      <c r="G7" s="5" t="s">
        <v>164</v>
      </c>
      <c r="H7" s="5" t="s">
        <v>162</v>
      </c>
      <c r="I7" s="5"/>
      <c r="J7" s="5"/>
      <c r="K7" s="5"/>
      <c r="L7" s="5"/>
      <c r="M7" s="5" t="s">
        <v>31</v>
      </c>
      <c r="N7" s="5">
        <v>14550</v>
      </c>
      <c r="O7" s="6" t="s">
        <v>15</v>
      </c>
      <c r="P7" s="7">
        <v>45518</v>
      </c>
      <c r="Q7" s="7">
        <v>45538</v>
      </c>
      <c r="R7" s="7">
        <v>45540</v>
      </c>
      <c r="S7" s="5" t="s">
        <v>27</v>
      </c>
      <c r="T7" s="5" t="s">
        <v>189</v>
      </c>
    </row>
    <row r="8" spans="1:20" ht="20.100000000000001" customHeight="1" x14ac:dyDescent="0.3">
      <c r="A8" s="23">
        <v>7</v>
      </c>
      <c r="B8" s="62"/>
      <c r="C8" s="62"/>
      <c r="D8" s="5" t="s">
        <v>32</v>
      </c>
      <c r="E8" s="5" t="s">
        <v>33</v>
      </c>
      <c r="F8" s="5" t="s">
        <v>34</v>
      </c>
      <c r="G8" s="5" t="s">
        <v>164</v>
      </c>
      <c r="H8" s="5" t="s">
        <v>162</v>
      </c>
      <c r="I8" s="5"/>
      <c r="J8" s="5"/>
      <c r="K8" s="5"/>
      <c r="L8" s="5"/>
      <c r="M8" s="5" t="s">
        <v>31</v>
      </c>
      <c r="N8" s="5">
        <v>12000</v>
      </c>
      <c r="O8" s="6">
        <v>12000</v>
      </c>
      <c r="P8" s="7">
        <v>45521</v>
      </c>
      <c r="Q8" s="7">
        <v>45524</v>
      </c>
      <c r="R8" s="7">
        <v>45523</v>
      </c>
      <c r="S8" s="5" t="s">
        <v>35</v>
      </c>
      <c r="T8" s="5" t="s">
        <v>189</v>
      </c>
    </row>
    <row r="9" spans="1:20" ht="20.100000000000001" customHeight="1" x14ac:dyDescent="0.3">
      <c r="A9" s="23">
        <v>8</v>
      </c>
      <c r="B9" s="62"/>
      <c r="C9" s="62"/>
      <c r="D9" s="5" t="s">
        <v>37</v>
      </c>
      <c r="E9" s="5" t="s">
        <v>38</v>
      </c>
      <c r="F9" s="5" t="s">
        <v>7</v>
      </c>
      <c r="G9" s="5" t="s">
        <v>148</v>
      </c>
      <c r="H9" s="5" t="s">
        <v>151</v>
      </c>
      <c r="I9" s="5"/>
      <c r="J9" s="5"/>
      <c r="K9" s="5"/>
      <c r="L9" s="5"/>
      <c r="M9" s="5" t="s">
        <v>39</v>
      </c>
      <c r="N9" s="5">
        <v>7228</v>
      </c>
      <c r="O9" s="6" t="s">
        <v>15</v>
      </c>
      <c r="P9" s="7">
        <v>45529</v>
      </c>
      <c r="Q9" s="7">
        <v>45538</v>
      </c>
      <c r="R9" s="7">
        <v>45545</v>
      </c>
      <c r="S9" s="5" t="s">
        <v>27</v>
      </c>
      <c r="T9" s="5" t="s">
        <v>189</v>
      </c>
    </row>
    <row r="10" spans="1:20" ht="20.100000000000001" customHeight="1" x14ac:dyDescent="0.3">
      <c r="A10" s="23">
        <v>9</v>
      </c>
      <c r="B10" s="62"/>
      <c r="C10" s="62"/>
      <c r="D10" s="5" t="s">
        <v>40</v>
      </c>
      <c r="E10" s="5" t="s">
        <v>41</v>
      </c>
      <c r="F10" s="5" t="s">
        <v>42</v>
      </c>
      <c r="G10" s="5" t="s">
        <v>156</v>
      </c>
      <c r="H10" s="5" t="s">
        <v>158</v>
      </c>
      <c r="I10" s="5"/>
      <c r="J10" s="5"/>
      <c r="K10" s="5"/>
      <c r="L10" s="5"/>
      <c r="M10" s="5" t="s">
        <v>43</v>
      </c>
      <c r="N10" s="5">
        <v>22000</v>
      </c>
      <c r="O10" s="6">
        <v>22000</v>
      </c>
      <c r="P10" s="7">
        <v>45523</v>
      </c>
      <c r="Q10" s="7">
        <v>45536</v>
      </c>
      <c r="R10" s="34">
        <v>45552</v>
      </c>
      <c r="S10" s="5"/>
      <c r="T10" s="5" t="s">
        <v>189</v>
      </c>
    </row>
    <row r="11" spans="1:20" ht="20.100000000000001" customHeight="1" x14ac:dyDescent="0.3">
      <c r="A11" s="35">
        <v>10</v>
      </c>
      <c r="B11" s="64"/>
      <c r="C11" s="64"/>
      <c r="D11" s="3" t="s">
        <v>40</v>
      </c>
      <c r="E11" s="3" t="s">
        <v>41</v>
      </c>
      <c r="F11" s="3" t="s">
        <v>40</v>
      </c>
      <c r="G11" s="3" t="s">
        <v>159</v>
      </c>
      <c r="H11" s="3" t="s">
        <v>157</v>
      </c>
      <c r="I11" s="3"/>
      <c r="J11" s="3"/>
      <c r="K11" s="3"/>
      <c r="L11" s="3"/>
      <c r="M11" s="3" t="s">
        <v>44</v>
      </c>
      <c r="N11" s="3">
        <v>16000</v>
      </c>
      <c r="O11" s="12">
        <v>16000</v>
      </c>
      <c r="P11" s="4"/>
      <c r="Q11" s="4"/>
      <c r="R11" s="4"/>
      <c r="S11" s="3" t="s">
        <v>107</v>
      </c>
      <c r="T11" s="3" t="s">
        <v>191</v>
      </c>
    </row>
    <row r="12" spans="1:20" ht="20.100000000000001" customHeight="1" x14ac:dyDescent="0.3">
      <c r="A12" s="23">
        <v>11</v>
      </c>
      <c r="B12" s="62"/>
      <c r="C12" s="62"/>
      <c r="D12" s="5" t="s">
        <v>40</v>
      </c>
      <c r="E12" s="5" t="s">
        <v>45</v>
      </c>
      <c r="F12" s="5" t="s">
        <v>42</v>
      </c>
      <c r="G12" s="5" t="s">
        <v>159</v>
      </c>
      <c r="H12" s="5" t="s">
        <v>157</v>
      </c>
      <c r="I12" s="5"/>
      <c r="J12" s="5"/>
      <c r="K12" s="5"/>
      <c r="L12" s="5"/>
      <c r="M12" s="5" t="s">
        <v>46</v>
      </c>
      <c r="N12" s="5">
        <v>6000</v>
      </c>
      <c r="O12" s="6">
        <v>12000</v>
      </c>
      <c r="P12" s="7">
        <v>45529</v>
      </c>
      <c r="Q12" s="7">
        <v>45550</v>
      </c>
      <c r="R12" s="34">
        <v>45552</v>
      </c>
      <c r="S12" s="5" t="s">
        <v>197</v>
      </c>
      <c r="T12" s="5" t="s">
        <v>189</v>
      </c>
    </row>
    <row r="13" spans="1:20" ht="20.100000000000001" customHeight="1" x14ac:dyDescent="0.3">
      <c r="A13" s="23">
        <v>12</v>
      </c>
      <c r="B13" s="62"/>
      <c r="C13" s="62"/>
      <c r="D13" s="5" t="s">
        <v>40</v>
      </c>
      <c r="E13" s="5" t="s">
        <v>45</v>
      </c>
      <c r="F13" s="5" t="s">
        <v>42</v>
      </c>
      <c r="G13" s="5" t="s">
        <v>159</v>
      </c>
      <c r="H13" s="5" t="s">
        <v>157</v>
      </c>
      <c r="I13" s="5"/>
      <c r="J13" s="5"/>
      <c r="K13" s="5"/>
      <c r="L13" s="5"/>
      <c r="M13" s="5" t="s">
        <v>46</v>
      </c>
      <c r="N13" s="5">
        <v>6000</v>
      </c>
      <c r="O13" s="6">
        <v>12000</v>
      </c>
      <c r="P13" s="7">
        <v>45529</v>
      </c>
      <c r="Q13" s="7">
        <v>45550</v>
      </c>
      <c r="R13" s="34">
        <v>45552</v>
      </c>
      <c r="S13" s="5" t="s">
        <v>197</v>
      </c>
      <c r="T13" s="5" t="s">
        <v>189</v>
      </c>
    </row>
    <row r="14" spans="1:20" ht="20.100000000000001" customHeight="1" x14ac:dyDescent="0.3">
      <c r="A14" s="23">
        <v>13</v>
      </c>
      <c r="B14" s="62"/>
      <c r="C14" s="62"/>
      <c r="D14" s="5" t="s">
        <v>47</v>
      </c>
      <c r="E14" s="5" t="s">
        <v>48</v>
      </c>
      <c r="F14" s="5" t="s">
        <v>7</v>
      </c>
      <c r="G14" s="5" t="s">
        <v>148</v>
      </c>
      <c r="H14" s="5" t="s">
        <v>163</v>
      </c>
      <c r="I14" s="5" t="s">
        <v>150</v>
      </c>
      <c r="J14" s="5">
        <v>80</v>
      </c>
      <c r="K14" s="5" t="s">
        <v>165</v>
      </c>
      <c r="L14" s="5"/>
      <c r="M14" s="5" t="s">
        <v>49</v>
      </c>
      <c r="N14" s="5">
        <v>10499</v>
      </c>
      <c r="O14" s="6">
        <v>8924</v>
      </c>
      <c r="P14" s="7">
        <v>45536</v>
      </c>
      <c r="Q14" s="7">
        <v>45551</v>
      </c>
      <c r="R14" s="7">
        <v>45543</v>
      </c>
      <c r="S14" s="5" t="s">
        <v>27</v>
      </c>
      <c r="T14" s="5" t="s">
        <v>189</v>
      </c>
    </row>
    <row r="15" spans="1:20" ht="20.100000000000001" customHeight="1" x14ac:dyDescent="0.25">
      <c r="A15" s="35">
        <v>14</v>
      </c>
      <c r="B15" s="54">
        <v>1404561</v>
      </c>
      <c r="C15" s="54">
        <v>1199284</v>
      </c>
      <c r="D15" s="3" t="s">
        <v>64</v>
      </c>
      <c r="E15" s="3" t="s">
        <v>38</v>
      </c>
      <c r="F15" s="3" t="s">
        <v>7</v>
      </c>
      <c r="G15" s="3" t="s">
        <v>148</v>
      </c>
      <c r="H15" s="3" t="s">
        <v>151</v>
      </c>
      <c r="I15" s="3" t="s">
        <v>150</v>
      </c>
      <c r="J15" s="3">
        <v>80</v>
      </c>
      <c r="K15" s="3" t="s">
        <v>165</v>
      </c>
      <c r="L15" s="3"/>
      <c r="M15" s="35" t="s">
        <v>65</v>
      </c>
      <c r="N15" s="3">
        <v>7295</v>
      </c>
      <c r="O15" s="12">
        <v>5895</v>
      </c>
      <c r="P15" s="4">
        <v>45540</v>
      </c>
      <c r="Q15" s="4">
        <v>45549</v>
      </c>
      <c r="R15" s="4"/>
      <c r="S15" s="3"/>
      <c r="T15" s="3" t="s">
        <v>191</v>
      </c>
    </row>
    <row r="16" spans="1:20" ht="20.100000000000001" customHeight="1" x14ac:dyDescent="0.25">
      <c r="A16" s="24">
        <v>15</v>
      </c>
      <c r="B16" s="55">
        <v>1401137</v>
      </c>
      <c r="C16" s="55">
        <v>1197500</v>
      </c>
      <c r="D16" s="11" t="s">
        <v>60</v>
      </c>
      <c r="E16" s="11" t="s">
        <v>61</v>
      </c>
      <c r="F16" s="11" t="s">
        <v>7</v>
      </c>
      <c r="G16" s="11" t="s">
        <v>155</v>
      </c>
      <c r="H16" s="11" t="s">
        <v>185</v>
      </c>
      <c r="I16" s="11"/>
      <c r="J16" s="11"/>
      <c r="K16" s="11"/>
      <c r="L16" s="11"/>
      <c r="M16" s="24" t="s">
        <v>62</v>
      </c>
      <c r="N16" s="11">
        <v>7849</v>
      </c>
      <c r="O16" s="8" t="s">
        <v>15</v>
      </c>
      <c r="P16" s="9">
        <v>45539</v>
      </c>
      <c r="Q16" s="9">
        <v>45551</v>
      </c>
      <c r="R16" s="9">
        <v>45560</v>
      </c>
      <c r="S16" s="11" t="s">
        <v>27</v>
      </c>
      <c r="T16" s="11" t="s">
        <v>206</v>
      </c>
    </row>
    <row r="17" spans="1:20" ht="20.100000000000001" customHeight="1" x14ac:dyDescent="0.3">
      <c r="A17" s="48">
        <v>16</v>
      </c>
      <c r="B17" s="61"/>
      <c r="C17" s="61"/>
      <c r="D17" s="30" t="s">
        <v>53</v>
      </c>
      <c r="E17" s="30" t="s">
        <v>54</v>
      </c>
      <c r="F17" s="30" t="s">
        <v>55</v>
      </c>
      <c r="G17" s="36" t="s">
        <v>148</v>
      </c>
      <c r="H17" s="30" t="s">
        <v>163</v>
      </c>
      <c r="I17" s="5" t="s">
        <v>153</v>
      </c>
      <c r="J17" s="5">
        <v>120</v>
      </c>
      <c r="K17" s="5" t="s">
        <v>166</v>
      </c>
      <c r="L17" s="5"/>
      <c r="M17" s="5" t="s">
        <v>56</v>
      </c>
      <c r="N17" s="5">
        <v>6180</v>
      </c>
      <c r="O17" s="31">
        <v>9700</v>
      </c>
      <c r="P17" s="34">
        <v>45538</v>
      </c>
      <c r="Q17" s="34">
        <v>45551</v>
      </c>
      <c r="R17" s="34">
        <v>45550</v>
      </c>
      <c r="S17" s="5" t="s">
        <v>197</v>
      </c>
      <c r="T17" s="30" t="s">
        <v>189</v>
      </c>
    </row>
    <row r="18" spans="1:20" ht="20.100000000000001" customHeight="1" x14ac:dyDescent="0.3">
      <c r="A18" s="23">
        <v>17</v>
      </c>
      <c r="B18" s="65"/>
      <c r="C18" s="65"/>
      <c r="D18" s="5" t="s">
        <v>53</v>
      </c>
      <c r="E18" s="5" t="s">
        <v>54</v>
      </c>
      <c r="F18" s="5" t="s">
        <v>55</v>
      </c>
      <c r="G18" s="36" t="s">
        <v>148</v>
      </c>
      <c r="H18" s="5" t="s">
        <v>163</v>
      </c>
      <c r="I18" s="5" t="s">
        <v>153</v>
      </c>
      <c r="J18" s="5">
        <v>120</v>
      </c>
      <c r="K18" s="5" t="s">
        <v>166</v>
      </c>
      <c r="L18" s="5"/>
      <c r="M18" s="5" t="s">
        <v>56</v>
      </c>
      <c r="N18" s="5">
        <v>6180</v>
      </c>
      <c r="O18" s="6">
        <v>9700</v>
      </c>
      <c r="P18" s="7">
        <v>45538</v>
      </c>
      <c r="Q18" s="7">
        <v>45551</v>
      </c>
      <c r="R18" s="34">
        <v>45550</v>
      </c>
      <c r="S18" s="5" t="s">
        <v>197</v>
      </c>
      <c r="T18" s="5" t="s">
        <v>189</v>
      </c>
    </row>
    <row r="19" spans="1:20" ht="20.100000000000001" customHeight="1" x14ac:dyDescent="0.25">
      <c r="A19" s="35">
        <v>18</v>
      </c>
      <c r="B19" s="56">
        <v>1400149</v>
      </c>
      <c r="C19" s="56">
        <v>1196947</v>
      </c>
      <c r="D19" s="3" t="s">
        <v>57</v>
      </c>
      <c r="E19" s="3" t="s">
        <v>58</v>
      </c>
      <c r="F19" s="3" t="s">
        <v>7</v>
      </c>
      <c r="G19" s="3" t="s">
        <v>148</v>
      </c>
      <c r="H19" s="3" t="s">
        <v>163</v>
      </c>
      <c r="I19" s="3" t="s">
        <v>152</v>
      </c>
      <c r="J19" s="3">
        <v>80</v>
      </c>
      <c r="K19" s="3" t="s">
        <v>165</v>
      </c>
      <c r="L19" s="3"/>
      <c r="M19" s="3" t="s">
        <v>59</v>
      </c>
      <c r="N19" s="3">
        <v>11199</v>
      </c>
      <c r="O19" s="12">
        <v>11310</v>
      </c>
      <c r="P19" s="4">
        <v>45539</v>
      </c>
      <c r="Q19" s="4">
        <v>45553</v>
      </c>
      <c r="R19" s="4"/>
      <c r="S19" s="3"/>
      <c r="T19" s="3" t="s">
        <v>191</v>
      </c>
    </row>
    <row r="20" spans="1:20" ht="20.100000000000001" customHeight="1" x14ac:dyDescent="0.25">
      <c r="A20" s="23">
        <v>19</v>
      </c>
      <c r="B20" s="57">
        <v>1408099</v>
      </c>
      <c r="C20" s="57">
        <v>1201057</v>
      </c>
      <c r="D20" s="5" t="s">
        <v>32</v>
      </c>
      <c r="E20" s="5" t="s">
        <v>66</v>
      </c>
      <c r="F20" s="5" t="s">
        <v>7</v>
      </c>
      <c r="G20" s="5" t="s">
        <v>148</v>
      </c>
      <c r="H20" s="5" t="s">
        <v>151</v>
      </c>
      <c r="I20" s="5" t="s">
        <v>175</v>
      </c>
      <c r="J20" s="5">
        <v>80</v>
      </c>
      <c r="K20" s="5" t="s">
        <v>165</v>
      </c>
      <c r="L20" s="5"/>
      <c r="M20" s="23" t="s">
        <v>67</v>
      </c>
      <c r="N20" s="5">
        <v>7987</v>
      </c>
      <c r="O20" s="6" t="s">
        <v>15</v>
      </c>
      <c r="P20" s="7">
        <v>45541</v>
      </c>
      <c r="Q20" s="7">
        <v>45551</v>
      </c>
      <c r="R20" s="7">
        <v>45556</v>
      </c>
      <c r="S20" s="5" t="s">
        <v>197</v>
      </c>
      <c r="T20" s="5" t="s">
        <v>196</v>
      </c>
    </row>
    <row r="21" spans="1:20" ht="20.100000000000001" customHeight="1" x14ac:dyDescent="0.3">
      <c r="A21" s="48">
        <v>20</v>
      </c>
      <c r="B21" s="61"/>
      <c r="C21" s="61"/>
      <c r="D21" s="30" t="s">
        <v>42</v>
      </c>
      <c r="E21" s="30" t="s">
        <v>41</v>
      </c>
      <c r="F21" s="30" t="s">
        <v>42</v>
      </c>
      <c r="G21" s="30" t="s">
        <v>160</v>
      </c>
      <c r="H21" s="30" t="s">
        <v>161</v>
      </c>
      <c r="I21" s="30"/>
      <c r="J21" s="30"/>
      <c r="K21" s="30"/>
      <c r="L21" s="30"/>
      <c r="M21" s="5" t="s">
        <v>63</v>
      </c>
      <c r="N21" s="30">
        <v>9300</v>
      </c>
      <c r="O21" s="31">
        <v>9300</v>
      </c>
      <c r="P21" s="34">
        <v>45539</v>
      </c>
      <c r="Q21" s="34">
        <v>45550</v>
      </c>
      <c r="R21" s="34">
        <v>45552</v>
      </c>
      <c r="S21" s="5" t="s">
        <v>197</v>
      </c>
      <c r="T21" s="30" t="s">
        <v>189</v>
      </c>
    </row>
    <row r="22" spans="1:20" ht="20.100000000000001" customHeight="1" x14ac:dyDescent="0.25">
      <c r="A22" s="23">
        <v>21</v>
      </c>
      <c r="B22" s="57">
        <v>1408098</v>
      </c>
      <c r="C22" s="57">
        <v>1201057</v>
      </c>
      <c r="D22" s="5" t="s">
        <v>32</v>
      </c>
      <c r="E22" s="5" t="s">
        <v>66</v>
      </c>
      <c r="F22" s="5" t="s">
        <v>7</v>
      </c>
      <c r="G22" s="5" t="s">
        <v>148</v>
      </c>
      <c r="H22" s="5" t="s">
        <v>151</v>
      </c>
      <c r="I22" s="5" t="s">
        <v>175</v>
      </c>
      <c r="J22" s="5">
        <v>80</v>
      </c>
      <c r="K22" s="5" t="s">
        <v>165</v>
      </c>
      <c r="L22" s="5"/>
      <c r="M22" s="23" t="s">
        <v>67</v>
      </c>
      <c r="N22" s="5">
        <v>7987</v>
      </c>
      <c r="O22" s="6" t="s">
        <v>15</v>
      </c>
      <c r="P22" s="7">
        <v>45541</v>
      </c>
      <c r="Q22" s="7">
        <v>45551</v>
      </c>
      <c r="R22" s="7">
        <v>45556</v>
      </c>
      <c r="S22" s="5" t="s">
        <v>197</v>
      </c>
      <c r="T22" s="5" t="s">
        <v>196</v>
      </c>
    </row>
    <row r="23" spans="1:20" ht="20.100000000000001" customHeight="1" x14ac:dyDescent="0.25">
      <c r="A23" s="23">
        <v>22</v>
      </c>
      <c r="B23" s="57">
        <v>1408100</v>
      </c>
      <c r="C23" s="57">
        <v>1201057</v>
      </c>
      <c r="D23" s="5" t="s">
        <v>32</v>
      </c>
      <c r="E23" s="5" t="s">
        <v>66</v>
      </c>
      <c r="F23" s="5" t="s">
        <v>7</v>
      </c>
      <c r="G23" s="5" t="s">
        <v>148</v>
      </c>
      <c r="H23" s="5" t="s">
        <v>151</v>
      </c>
      <c r="I23" s="5" t="s">
        <v>175</v>
      </c>
      <c r="J23" s="5">
        <v>80</v>
      </c>
      <c r="K23" s="5" t="s">
        <v>165</v>
      </c>
      <c r="L23" s="5"/>
      <c r="M23" s="23" t="s">
        <v>67</v>
      </c>
      <c r="N23" s="5">
        <v>7987</v>
      </c>
      <c r="O23" s="6" t="s">
        <v>15</v>
      </c>
      <c r="P23" s="7">
        <v>45541</v>
      </c>
      <c r="Q23" s="7">
        <v>45551</v>
      </c>
      <c r="R23" s="7">
        <v>45556</v>
      </c>
      <c r="S23" s="5" t="s">
        <v>197</v>
      </c>
      <c r="T23" s="5" t="s">
        <v>196</v>
      </c>
    </row>
    <row r="24" spans="1:20" ht="20.100000000000001" customHeight="1" x14ac:dyDescent="0.25">
      <c r="A24" s="23">
        <v>23</v>
      </c>
      <c r="B24" s="57">
        <v>1408101</v>
      </c>
      <c r="C24" s="57">
        <v>1201057</v>
      </c>
      <c r="D24" s="5" t="s">
        <v>32</v>
      </c>
      <c r="E24" s="5" t="s">
        <v>66</v>
      </c>
      <c r="F24" s="5" t="s">
        <v>7</v>
      </c>
      <c r="G24" s="5" t="s">
        <v>148</v>
      </c>
      <c r="H24" s="5" t="s">
        <v>151</v>
      </c>
      <c r="I24" s="5" t="s">
        <v>175</v>
      </c>
      <c r="J24" s="5">
        <v>80</v>
      </c>
      <c r="K24" s="5" t="s">
        <v>165</v>
      </c>
      <c r="L24" s="5"/>
      <c r="M24" s="23" t="s">
        <v>67</v>
      </c>
      <c r="N24" s="5">
        <v>7987</v>
      </c>
      <c r="O24" s="6" t="s">
        <v>15</v>
      </c>
      <c r="P24" s="7">
        <v>45541</v>
      </c>
      <c r="Q24" s="7">
        <v>45551</v>
      </c>
      <c r="R24" s="7">
        <v>45556</v>
      </c>
      <c r="S24" s="5" t="s">
        <v>197</v>
      </c>
      <c r="T24" s="5" t="s">
        <v>196</v>
      </c>
    </row>
    <row r="25" spans="1:20" ht="20.100000000000001" customHeight="1" x14ac:dyDescent="0.25">
      <c r="A25" s="35">
        <v>24</v>
      </c>
      <c r="B25" s="54">
        <v>1513856</v>
      </c>
      <c r="C25" s="54">
        <v>1231946</v>
      </c>
      <c r="D25" s="3" t="s">
        <v>104</v>
      </c>
      <c r="E25" s="3" t="s">
        <v>105</v>
      </c>
      <c r="F25" s="3" t="s">
        <v>7</v>
      </c>
      <c r="G25" s="3" t="s">
        <v>155</v>
      </c>
      <c r="H25" s="3" t="s">
        <v>185</v>
      </c>
      <c r="I25" s="3"/>
      <c r="J25" s="3"/>
      <c r="K25" s="3"/>
      <c r="L25" s="3"/>
      <c r="M25" s="35" t="s">
        <v>62</v>
      </c>
      <c r="N25" s="3">
        <v>8849</v>
      </c>
      <c r="O25" s="12" t="s">
        <v>15</v>
      </c>
      <c r="P25" s="4">
        <v>45538</v>
      </c>
      <c r="Q25" s="4">
        <v>45581</v>
      </c>
      <c r="R25" s="4"/>
      <c r="S25" s="3"/>
      <c r="T25" s="3" t="s">
        <v>191</v>
      </c>
    </row>
    <row r="26" spans="1:20" ht="20.100000000000001" customHeight="1" x14ac:dyDescent="0.25">
      <c r="A26" s="23">
        <v>25</v>
      </c>
      <c r="B26" s="57">
        <v>1411691</v>
      </c>
      <c r="C26" s="57">
        <v>1202775</v>
      </c>
      <c r="D26" s="5" t="s">
        <v>68</v>
      </c>
      <c r="E26" s="5" t="s">
        <v>38</v>
      </c>
      <c r="F26" s="5" t="s">
        <v>7</v>
      </c>
      <c r="G26" s="5" t="s">
        <v>148</v>
      </c>
      <c r="H26" s="5" t="s">
        <v>151</v>
      </c>
      <c r="I26" s="5" t="s">
        <v>154</v>
      </c>
      <c r="J26" s="5">
        <v>120</v>
      </c>
      <c r="K26" s="5" t="s">
        <v>165</v>
      </c>
      <c r="L26" s="5"/>
      <c r="M26" s="23" t="s">
        <v>69</v>
      </c>
      <c r="N26" s="5">
        <v>10987</v>
      </c>
      <c r="O26" s="6" t="s">
        <v>15</v>
      </c>
      <c r="P26" s="7">
        <v>45544</v>
      </c>
      <c r="Q26" s="7">
        <v>45552</v>
      </c>
      <c r="R26" s="7">
        <v>45556</v>
      </c>
      <c r="S26" s="5" t="s">
        <v>197</v>
      </c>
      <c r="T26" s="5" t="s">
        <v>189</v>
      </c>
    </row>
    <row r="27" spans="1:20" ht="20.100000000000001" customHeight="1" x14ac:dyDescent="0.3">
      <c r="A27" s="23">
        <v>26</v>
      </c>
      <c r="B27" s="62"/>
      <c r="C27" s="62"/>
      <c r="D27" s="5" t="s">
        <v>30</v>
      </c>
      <c r="E27" s="5"/>
      <c r="F27" s="5" t="s">
        <v>30</v>
      </c>
      <c r="G27" s="5" t="s">
        <v>148</v>
      </c>
      <c r="H27" s="5" t="s">
        <v>163</v>
      </c>
      <c r="I27" s="5" t="s">
        <v>152</v>
      </c>
      <c r="J27" s="5">
        <v>100</v>
      </c>
      <c r="K27" s="5" t="s">
        <v>165</v>
      </c>
      <c r="L27" s="5"/>
      <c r="M27" s="23" t="s">
        <v>50</v>
      </c>
      <c r="N27" s="5">
        <v>9208</v>
      </c>
      <c r="O27" s="6">
        <v>5781.75</v>
      </c>
      <c r="P27" s="7">
        <v>45536</v>
      </c>
      <c r="Q27" s="7">
        <v>45554</v>
      </c>
      <c r="R27" s="7">
        <v>45556</v>
      </c>
      <c r="S27" s="5" t="s">
        <v>197</v>
      </c>
      <c r="T27" s="5" t="s">
        <v>196</v>
      </c>
    </row>
    <row r="28" spans="1:20" ht="20.100000000000001" customHeight="1" x14ac:dyDescent="0.3">
      <c r="A28" s="23">
        <v>27</v>
      </c>
      <c r="B28" s="62"/>
      <c r="C28" s="62"/>
      <c r="D28" s="5" t="s">
        <v>30</v>
      </c>
      <c r="E28" s="5"/>
      <c r="F28" s="5" t="s">
        <v>51</v>
      </c>
      <c r="G28" s="5" t="s">
        <v>148</v>
      </c>
      <c r="H28" s="5" t="s">
        <v>163</v>
      </c>
      <c r="I28" s="5" t="s">
        <v>152</v>
      </c>
      <c r="J28" s="5">
        <v>100</v>
      </c>
      <c r="K28" s="5" t="s">
        <v>166</v>
      </c>
      <c r="L28" s="5"/>
      <c r="M28" s="23" t="s">
        <v>52</v>
      </c>
      <c r="N28" s="5">
        <v>9208</v>
      </c>
      <c r="O28" s="6">
        <v>1278.53</v>
      </c>
      <c r="P28" s="7">
        <v>45536</v>
      </c>
      <c r="Q28" s="7">
        <v>45554</v>
      </c>
      <c r="R28" s="7">
        <v>45556</v>
      </c>
      <c r="S28" s="5" t="s">
        <v>197</v>
      </c>
      <c r="T28" s="5" t="s">
        <v>196</v>
      </c>
    </row>
    <row r="29" spans="1:20" ht="20.100000000000001" customHeight="1" x14ac:dyDescent="0.3">
      <c r="A29" s="23">
        <v>28</v>
      </c>
      <c r="B29" s="62"/>
      <c r="C29" s="62"/>
      <c r="D29" s="5" t="s">
        <v>81</v>
      </c>
      <c r="E29" s="5" t="s">
        <v>82</v>
      </c>
      <c r="F29" s="5" t="s">
        <v>55</v>
      </c>
      <c r="G29" s="5" t="s">
        <v>148</v>
      </c>
      <c r="H29" s="5" t="s">
        <v>151</v>
      </c>
      <c r="I29" s="5" t="s">
        <v>175</v>
      </c>
      <c r="J29" s="5">
        <v>120</v>
      </c>
      <c r="K29" s="5" t="s">
        <v>165</v>
      </c>
      <c r="L29" s="5"/>
      <c r="M29" s="37" t="s">
        <v>85</v>
      </c>
      <c r="N29" s="5">
        <v>4020</v>
      </c>
      <c r="O29" s="6" t="s">
        <v>83</v>
      </c>
      <c r="P29" s="7">
        <v>45547</v>
      </c>
      <c r="Q29" s="7">
        <v>45556</v>
      </c>
      <c r="R29" s="7">
        <v>45557</v>
      </c>
      <c r="S29" s="5" t="s">
        <v>197</v>
      </c>
      <c r="T29" s="5" t="s">
        <v>189</v>
      </c>
    </row>
    <row r="30" spans="1:20" ht="20.100000000000001" customHeight="1" x14ac:dyDescent="0.3">
      <c r="A30" s="23">
        <v>29</v>
      </c>
      <c r="B30" s="62"/>
      <c r="C30" s="62"/>
      <c r="D30" s="5" t="s">
        <v>81</v>
      </c>
      <c r="E30" s="5" t="s">
        <v>82</v>
      </c>
      <c r="F30" s="5" t="s">
        <v>55</v>
      </c>
      <c r="G30" s="5" t="s">
        <v>148</v>
      </c>
      <c r="H30" s="5" t="s">
        <v>151</v>
      </c>
      <c r="I30" s="5" t="s">
        <v>175</v>
      </c>
      <c r="J30" s="5">
        <v>120</v>
      </c>
      <c r="K30" s="5" t="s">
        <v>165</v>
      </c>
      <c r="L30" s="5"/>
      <c r="M30" s="37" t="s">
        <v>85</v>
      </c>
      <c r="N30" s="5">
        <v>4020</v>
      </c>
      <c r="O30" s="6" t="s">
        <v>83</v>
      </c>
      <c r="P30" s="7">
        <v>45547</v>
      </c>
      <c r="Q30" s="7">
        <v>45556</v>
      </c>
      <c r="R30" s="7">
        <v>45557</v>
      </c>
      <c r="S30" s="5" t="s">
        <v>197</v>
      </c>
      <c r="T30" s="5" t="s">
        <v>189</v>
      </c>
    </row>
    <row r="31" spans="1:20" ht="20.100000000000001" customHeight="1" x14ac:dyDescent="0.3">
      <c r="A31" s="23">
        <v>30</v>
      </c>
      <c r="B31" s="62"/>
      <c r="C31" s="62"/>
      <c r="D31" s="5" t="s">
        <v>81</v>
      </c>
      <c r="E31" s="5" t="s">
        <v>82</v>
      </c>
      <c r="F31" s="5" t="s">
        <v>55</v>
      </c>
      <c r="G31" s="5" t="s">
        <v>148</v>
      </c>
      <c r="H31" s="5" t="s">
        <v>151</v>
      </c>
      <c r="I31" s="5" t="s">
        <v>167</v>
      </c>
      <c r="J31" s="5">
        <v>120</v>
      </c>
      <c r="K31" s="5" t="s">
        <v>166</v>
      </c>
      <c r="L31" s="5"/>
      <c r="M31" s="37" t="s">
        <v>84</v>
      </c>
      <c r="N31" s="5">
        <v>4020</v>
      </c>
      <c r="O31" s="6" t="s">
        <v>113</v>
      </c>
      <c r="P31" s="7">
        <v>45547</v>
      </c>
      <c r="Q31" s="7">
        <v>45556</v>
      </c>
      <c r="R31" s="7">
        <v>45557</v>
      </c>
      <c r="S31" s="5" t="s">
        <v>197</v>
      </c>
      <c r="T31" s="5" t="s">
        <v>189</v>
      </c>
    </row>
    <row r="32" spans="1:20" ht="20.100000000000001" customHeight="1" x14ac:dyDescent="0.3">
      <c r="A32" s="23">
        <v>31</v>
      </c>
      <c r="B32" s="62"/>
      <c r="C32" s="62"/>
      <c r="D32" s="5" t="s">
        <v>81</v>
      </c>
      <c r="E32" s="5" t="s">
        <v>82</v>
      </c>
      <c r="F32" s="5" t="s">
        <v>55</v>
      </c>
      <c r="G32" s="5" t="s">
        <v>148</v>
      </c>
      <c r="H32" s="5" t="s">
        <v>151</v>
      </c>
      <c r="I32" s="5" t="s">
        <v>167</v>
      </c>
      <c r="J32" s="5">
        <v>120</v>
      </c>
      <c r="K32" s="5" t="s">
        <v>166</v>
      </c>
      <c r="L32" s="5"/>
      <c r="M32" s="37" t="s">
        <v>84</v>
      </c>
      <c r="N32" s="5">
        <v>4020</v>
      </c>
      <c r="O32" s="6" t="s">
        <v>113</v>
      </c>
      <c r="P32" s="7">
        <v>45547</v>
      </c>
      <c r="Q32" s="7">
        <v>45556</v>
      </c>
      <c r="R32" s="7">
        <v>45557</v>
      </c>
      <c r="S32" s="5" t="s">
        <v>197</v>
      </c>
      <c r="T32" s="5" t="s">
        <v>189</v>
      </c>
    </row>
    <row r="33" spans="1:20" ht="20.100000000000001" customHeight="1" x14ac:dyDescent="0.25">
      <c r="A33" s="24">
        <v>32</v>
      </c>
      <c r="B33" s="55">
        <v>1509211</v>
      </c>
      <c r="C33" s="55">
        <v>1230837</v>
      </c>
      <c r="D33" s="11" t="s">
        <v>141</v>
      </c>
      <c r="E33" s="11" t="s">
        <v>142</v>
      </c>
      <c r="F33" s="11" t="s">
        <v>7</v>
      </c>
      <c r="G33" s="11" t="s">
        <v>148</v>
      </c>
      <c r="H33" s="11" t="s">
        <v>149</v>
      </c>
      <c r="I33" s="11"/>
      <c r="J33" s="11"/>
      <c r="K33" s="11" t="s">
        <v>166</v>
      </c>
      <c r="L33" s="11" t="s">
        <v>166</v>
      </c>
      <c r="M33" s="24" t="s">
        <v>143</v>
      </c>
      <c r="N33" s="11">
        <v>9399</v>
      </c>
      <c r="O33" s="6" t="s">
        <v>113</v>
      </c>
      <c r="P33" s="11" t="s">
        <v>144</v>
      </c>
      <c r="Q33" s="9">
        <v>45557</v>
      </c>
      <c r="R33" s="11" t="s">
        <v>190</v>
      </c>
      <c r="S33" s="11" t="s">
        <v>36</v>
      </c>
      <c r="T33" s="11" t="s">
        <v>190</v>
      </c>
    </row>
    <row r="34" spans="1:20" ht="20.100000000000001" customHeight="1" x14ac:dyDescent="0.25">
      <c r="A34" s="23">
        <v>33</v>
      </c>
      <c r="B34" s="57">
        <v>1536687</v>
      </c>
      <c r="C34" s="57">
        <v>1237682</v>
      </c>
      <c r="D34" s="5" t="s">
        <v>145</v>
      </c>
      <c r="E34" s="5" t="s">
        <v>146</v>
      </c>
      <c r="F34" s="5" t="s">
        <v>7</v>
      </c>
      <c r="G34" s="5" t="s">
        <v>155</v>
      </c>
      <c r="H34" s="5" t="s">
        <v>187</v>
      </c>
      <c r="I34" s="5"/>
      <c r="J34" s="5"/>
      <c r="K34" s="5"/>
      <c r="L34" s="5"/>
      <c r="M34" s="23" t="s">
        <v>147</v>
      </c>
      <c r="N34" s="5">
        <v>8349</v>
      </c>
      <c r="O34" s="6" t="s">
        <v>113</v>
      </c>
      <c r="P34" s="7">
        <v>45549</v>
      </c>
      <c r="Q34" s="7">
        <v>45557</v>
      </c>
      <c r="R34" s="7">
        <v>45559</v>
      </c>
      <c r="S34" s="5" t="s">
        <v>27</v>
      </c>
      <c r="T34" s="5" t="s">
        <v>189</v>
      </c>
    </row>
    <row r="35" spans="1:20" ht="20.100000000000001" customHeight="1" x14ac:dyDescent="0.25">
      <c r="A35" s="23">
        <v>34</v>
      </c>
      <c r="B35" s="57">
        <v>1520537</v>
      </c>
      <c r="C35" s="57">
        <v>1233624</v>
      </c>
      <c r="D35" s="5" t="s">
        <v>102</v>
      </c>
      <c r="E35" s="5" t="s">
        <v>38</v>
      </c>
      <c r="F35" s="5" t="s">
        <v>7</v>
      </c>
      <c r="G35" s="5" t="s">
        <v>148</v>
      </c>
      <c r="H35" s="5" t="s">
        <v>149</v>
      </c>
      <c r="I35" s="5"/>
      <c r="J35" s="5"/>
      <c r="K35" s="5" t="s">
        <v>166</v>
      </c>
      <c r="L35" s="5" t="s">
        <v>166</v>
      </c>
      <c r="M35" s="23" t="s">
        <v>103</v>
      </c>
      <c r="N35" s="5">
        <v>9399</v>
      </c>
      <c r="O35" s="6" t="s">
        <v>15</v>
      </c>
      <c r="P35" s="7">
        <v>45548</v>
      </c>
      <c r="Q35" s="7">
        <v>45559</v>
      </c>
      <c r="R35" s="7" t="s">
        <v>207</v>
      </c>
      <c r="S35" s="5" t="s">
        <v>27</v>
      </c>
      <c r="T35" s="5" t="s">
        <v>196</v>
      </c>
    </row>
    <row r="36" spans="1:20" ht="20.100000000000001" customHeight="1" x14ac:dyDescent="0.25">
      <c r="A36" s="23">
        <v>35</v>
      </c>
      <c r="B36" s="57">
        <v>1422998</v>
      </c>
      <c r="C36" s="57">
        <v>1207350</v>
      </c>
      <c r="D36" s="5" t="s">
        <v>70</v>
      </c>
      <c r="E36" s="5" t="s">
        <v>71</v>
      </c>
      <c r="F36" s="5" t="s">
        <v>7</v>
      </c>
      <c r="G36" s="5" t="s">
        <v>155</v>
      </c>
      <c r="H36" s="5" t="s">
        <v>185</v>
      </c>
      <c r="I36" s="5"/>
      <c r="J36" s="5"/>
      <c r="K36" s="5"/>
      <c r="L36" s="5"/>
      <c r="M36" s="23" t="s">
        <v>62</v>
      </c>
      <c r="N36" s="5">
        <v>7849</v>
      </c>
      <c r="O36" s="6">
        <v>7928</v>
      </c>
      <c r="P36" s="7">
        <v>45547</v>
      </c>
      <c r="Q36" s="7">
        <v>45561</v>
      </c>
      <c r="R36" s="5" t="s">
        <v>27</v>
      </c>
      <c r="S36" s="5" t="s">
        <v>27</v>
      </c>
      <c r="T36" s="5" t="s">
        <v>192</v>
      </c>
    </row>
    <row r="37" spans="1:20" ht="20.100000000000001" customHeight="1" x14ac:dyDescent="0.3">
      <c r="A37" s="24">
        <v>36</v>
      </c>
      <c r="B37" s="63"/>
      <c r="C37" s="63"/>
      <c r="D37" s="11" t="s">
        <v>78</v>
      </c>
      <c r="E37" s="11" t="s">
        <v>79</v>
      </c>
      <c r="F37" s="11" t="s">
        <v>34</v>
      </c>
      <c r="G37" s="11" t="s">
        <v>148</v>
      </c>
      <c r="H37" s="11" t="s">
        <v>169</v>
      </c>
      <c r="I37" s="11" t="s">
        <v>153</v>
      </c>
      <c r="J37" s="11">
        <v>100</v>
      </c>
      <c r="K37" s="11" t="s">
        <v>166</v>
      </c>
      <c r="L37" s="11"/>
      <c r="M37" s="24" t="s">
        <v>80</v>
      </c>
      <c r="N37" s="11">
        <v>9450</v>
      </c>
      <c r="O37" s="8">
        <v>9450</v>
      </c>
      <c r="P37" s="9">
        <v>45547</v>
      </c>
      <c r="Q37" s="9">
        <v>45561</v>
      </c>
      <c r="R37" s="9"/>
      <c r="S37" s="11"/>
      <c r="T37" s="11" t="s">
        <v>234</v>
      </c>
    </row>
    <row r="38" spans="1:20" ht="20.100000000000001" customHeight="1" x14ac:dyDescent="0.25">
      <c r="A38" s="23">
        <v>37</v>
      </c>
      <c r="B38" s="57">
        <v>1459790</v>
      </c>
      <c r="C38" s="57">
        <v>1218257</v>
      </c>
      <c r="D38" s="5" t="s">
        <v>93</v>
      </c>
      <c r="E38" s="5" t="s">
        <v>66</v>
      </c>
      <c r="F38" s="5" t="s">
        <v>7</v>
      </c>
      <c r="G38" s="5" t="s">
        <v>148</v>
      </c>
      <c r="H38" s="5" t="s">
        <v>151</v>
      </c>
      <c r="I38" s="5" t="s">
        <v>154</v>
      </c>
      <c r="J38" s="5">
        <v>120</v>
      </c>
      <c r="K38" s="5" t="s">
        <v>166</v>
      </c>
      <c r="L38" s="5"/>
      <c r="M38" s="23" t="s">
        <v>94</v>
      </c>
      <c r="N38" s="5">
        <v>7460</v>
      </c>
      <c r="O38" s="6" t="s">
        <v>15</v>
      </c>
      <c r="P38" s="7">
        <v>45548</v>
      </c>
      <c r="Q38" s="7">
        <v>45561</v>
      </c>
      <c r="R38" s="7">
        <v>45568</v>
      </c>
      <c r="S38" s="5" t="s">
        <v>197</v>
      </c>
      <c r="T38" s="5" t="s">
        <v>196</v>
      </c>
    </row>
    <row r="39" spans="1:20" ht="20.100000000000001" customHeight="1" x14ac:dyDescent="0.25">
      <c r="A39" s="23">
        <v>38</v>
      </c>
      <c r="B39" s="57">
        <v>1455486</v>
      </c>
      <c r="C39" s="57">
        <v>1217163</v>
      </c>
      <c r="D39" s="5" t="s">
        <v>97</v>
      </c>
      <c r="E39" s="5" t="s">
        <v>66</v>
      </c>
      <c r="F39" s="5" t="s">
        <v>7</v>
      </c>
      <c r="G39" s="5" t="s">
        <v>148</v>
      </c>
      <c r="H39" s="5" t="s">
        <v>151</v>
      </c>
      <c r="I39" s="5" t="s">
        <v>176</v>
      </c>
      <c r="J39" s="5">
        <v>140</v>
      </c>
      <c r="K39" s="5" t="s">
        <v>174</v>
      </c>
      <c r="L39" s="5" t="s">
        <v>170</v>
      </c>
      <c r="M39" s="23" t="s">
        <v>98</v>
      </c>
      <c r="N39" s="5">
        <v>9528</v>
      </c>
      <c r="O39" s="6" t="s">
        <v>15</v>
      </c>
      <c r="P39" s="7">
        <v>45548</v>
      </c>
      <c r="Q39" s="7">
        <v>45561</v>
      </c>
      <c r="R39" s="7">
        <v>45568</v>
      </c>
      <c r="S39" s="5" t="s">
        <v>197</v>
      </c>
      <c r="T39" s="5" t="s">
        <v>196</v>
      </c>
    </row>
    <row r="40" spans="1:20" ht="20.100000000000001" customHeight="1" x14ac:dyDescent="0.25">
      <c r="A40" s="23">
        <v>39</v>
      </c>
      <c r="B40" s="57">
        <v>1504407</v>
      </c>
      <c r="C40" s="57">
        <v>1229760</v>
      </c>
      <c r="D40" s="5" t="s">
        <v>139</v>
      </c>
      <c r="E40" s="5" t="s">
        <v>38</v>
      </c>
      <c r="F40" s="5" t="s">
        <v>7</v>
      </c>
      <c r="G40" s="5" t="s">
        <v>148</v>
      </c>
      <c r="H40" s="5" t="s">
        <v>163</v>
      </c>
      <c r="I40" s="5" t="s">
        <v>153</v>
      </c>
      <c r="J40" s="5">
        <v>120</v>
      </c>
      <c r="K40" s="5" t="s">
        <v>170</v>
      </c>
      <c r="L40" s="5"/>
      <c r="M40" s="23" t="s">
        <v>140</v>
      </c>
      <c r="N40" s="5">
        <v>12999</v>
      </c>
      <c r="O40" s="6" t="s">
        <v>15</v>
      </c>
      <c r="P40" s="7">
        <v>45549</v>
      </c>
      <c r="Q40" s="7">
        <v>45562</v>
      </c>
      <c r="R40" s="7">
        <v>45567</v>
      </c>
      <c r="S40" s="5" t="s">
        <v>197</v>
      </c>
      <c r="T40" s="5" t="s">
        <v>196</v>
      </c>
    </row>
    <row r="41" spans="1:20" ht="20.100000000000001" customHeight="1" x14ac:dyDescent="0.25">
      <c r="A41" s="35">
        <v>40</v>
      </c>
      <c r="B41" s="54">
        <v>1423361</v>
      </c>
      <c r="C41" s="54">
        <v>1207484</v>
      </c>
      <c r="D41" s="3" t="s">
        <v>72</v>
      </c>
      <c r="E41" s="3" t="s">
        <v>73</v>
      </c>
      <c r="F41" s="3" t="s">
        <v>7</v>
      </c>
      <c r="G41" s="3" t="s">
        <v>148</v>
      </c>
      <c r="H41" s="3" t="s">
        <v>163</v>
      </c>
      <c r="I41" s="3" t="s">
        <v>150</v>
      </c>
      <c r="J41" s="3">
        <v>90</v>
      </c>
      <c r="K41" s="3" t="s">
        <v>166</v>
      </c>
      <c r="L41" s="3"/>
      <c r="M41" s="35" t="s">
        <v>76</v>
      </c>
      <c r="N41" s="3">
        <v>5999</v>
      </c>
      <c r="O41" s="12" t="s">
        <v>15</v>
      </c>
      <c r="P41" s="4">
        <v>45547</v>
      </c>
      <c r="Q41" s="4">
        <v>45564</v>
      </c>
      <c r="R41" s="4"/>
      <c r="S41" s="3"/>
      <c r="T41" s="3"/>
    </row>
    <row r="42" spans="1:20" ht="20.100000000000001" customHeight="1" x14ac:dyDescent="0.25">
      <c r="A42" s="23">
        <v>41</v>
      </c>
      <c r="B42" s="57">
        <v>1415725</v>
      </c>
      <c r="C42" s="57">
        <v>1204732</v>
      </c>
      <c r="D42" s="5" t="s">
        <v>74</v>
      </c>
      <c r="E42" s="5" t="s">
        <v>75</v>
      </c>
      <c r="F42" s="5" t="s">
        <v>7</v>
      </c>
      <c r="G42" s="5" t="s">
        <v>148</v>
      </c>
      <c r="H42" s="5" t="s">
        <v>163</v>
      </c>
      <c r="I42" s="5" t="s">
        <v>153</v>
      </c>
      <c r="J42" s="5">
        <v>100</v>
      </c>
      <c r="K42" s="5" t="s">
        <v>166</v>
      </c>
      <c r="L42" s="5"/>
      <c r="M42" s="23" t="s">
        <v>77</v>
      </c>
      <c r="N42" s="5">
        <v>11949</v>
      </c>
      <c r="O42" s="6">
        <v>10749</v>
      </c>
      <c r="P42" s="7">
        <v>45547</v>
      </c>
      <c r="Q42" s="7">
        <v>45564</v>
      </c>
      <c r="R42" s="7">
        <v>45567</v>
      </c>
      <c r="S42" s="5" t="s">
        <v>197</v>
      </c>
      <c r="T42" s="5" t="s">
        <v>196</v>
      </c>
    </row>
    <row r="43" spans="1:20" ht="20.100000000000001" customHeight="1" x14ac:dyDescent="0.25">
      <c r="A43" s="23">
        <v>42</v>
      </c>
      <c r="B43" s="57">
        <v>1415726</v>
      </c>
      <c r="C43" s="57">
        <v>1204732</v>
      </c>
      <c r="D43" s="5" t="s">
        <v>74</v>
      </c>
      <c r="E43" s="5" t="s">
        <v>75</v>
      </c>
      <c r="F43" s="5" t="s">
        <v>7</v>
      </c>
      <c r="G43" s="5" t="s">
        <v>148</v>
      </c>
      <c r="H43" s="5" t="s">
        <v>163</v>
      </c>
      <c r="I43" s="5" t="s">
        <v>153</v>
      </c>
      <c r="J43" s="5">
        <v>100</v>
      </c>
      <c r="K43" s="5" t="s">
        <v>166</v>
      </c>
      <c r="L43" s="5"/>
      <c r="M43" s="23" t="s">
        <v>77</v>
      </c>
      <c r="N43" s="5">
        <v>11949</v>
      </c>
      <c r="O43" s="6">
        <v>10749</v>
      </c>
      <c r="P43" s="7">
        <v>45547</v>
      </c>
      <c r="Q43" s="7">
        <v>45564</v>
      </c>
      <c r="R43" s="7">
        <v>45567</v>
      </c>
      <c r="S43" s="5" t="s">
        <v>197</v>
      </c>
      <c r="T43" s="5" t="s">
        <v>196</v>
      </c>
    </row>
    <row r="44" spans="1:20" ht="20.100000000000001" customHeight="1" x14ac:dyDescent="0.25">
      <c r="A44" s="23">
        <v>43</v>
      </c>
      <c r="B44" s="57">
        <v>1499397</v>
      </c>
      <c r="C44" s="57">
        <v>1228586</v>
      </c>
      <c r="D44" s="5" t="s">
        <v>32</v>
      </c>
      <c r="E44" s="5" t="s">
        <v>86</v>
      </c>
      <c r="F44" s="5" t="s">
        <v>7</v>
      </c>
      <c r="G44" s="5" t="s">
        <v>148</v>
      </c>
      <c r="H44" s="5" t="s">
        <v>169</v>
      </c>
      <c r="I44" s="5" t="s">
        <v>153</v>
      </c>
      <c r="J44" s="5">
        <v>80</v>
      </c>
      <c r="K44" s="5" t="s">
        <v>165</v>
      </c>
      <c r="L44" s="5"/>
      <c r="M44" s="23" t="s">
        <v>89</v>
      </c>
      <c r="N44" s="5">
        <v>16599</v>
      </c>
      <c r="O44" s="6" t="s">
        <v>15</v>
      </c>
      <c r="P44" s="7">
        <v>45548</v>
      </c>
      <c r="Q44" s="7">
        <v>45565</v>
      </c>
      <c r="R44" s="7">
        <v>45568</v>
      </c>
      <c r="S44" s="5" t="s">
        <v>197</v>
      </c>
      <c r="T44" s="5" t="s">
        <v>196</v>
      </c>
    </row>
    <row r="45" spans="1:20" ht="20.100000000000001" customHeight="1" x14ac:dyDescent="0.25">
      <c r="A45" s="23">
        <v>44</v>
      </c>
      <c r="B45" s="57">
        <v>1458696</v>
      </c>
      <c r="C45" s="57">
        <v>1217982</v>
      </c>
      <c r="D45" s="5" t="s">
        <v>87</v>
      </c>
      <c r="E45" s="5" t="s">
        <v>25</v>
      </c>
      <c r="F45" s="5" t="s">
        <v>7</v>
      </c>
      <c r="G45" s="5" t="s">
        <v>148</v>
      </c>
      <c r="H45" s="5" t="s">
        <v>163</v>
      </c>
      <c r="I45" s="5" t="s">
        <v>153</v>
      </c>
      <c r="J45" s="5">
        <v>80</v>
      </c>
      <c r="K45" s="5" t="s">
        <v>165</v>
      </c>
      <c r="L45" s="5"/>
      <c r="M45" s="23" t="s">
        <v>88</v>
      </c>
      <c r="N45" s="5">
        <v>10999</v>
      </c>
      <c r="O45" s="6" t="s">
        <v>15</v>
      </c>
      <c r="P45" s="7">
        <v>45548</v>
      </c>
      <c r="Q45" s="7">
        <v>45565</v>
      </c>
      <c r="R45" s="7">
        <v>45581</v>
      </c>
      <c r="S45" s="5" t="s">
        <v>27</v>
      </c>
      <c r="T45" s="5" t="s">
        <v>196</v>
      </c>
    </row>
    <row r="46" spans="1:20" ht="20.100000000000001" customHeight="1" x14ac:dyDescent="0.25">
      <c r="A46" s="23">
        <v>45</v>
      </c>
      <c r="B46" s="57">
        <v>1480814</v>
      </c>
      <c r="C46" s="57">
        <v>1223964</v>
      </c>
      <c r="D46" s="5" t="s">
        <v>90</v>
      </c>
      <c r="E46" s="5" t="s">
        <v>91</v>
      </c>
      <c r="F46" s="5" t="s">
        <v>7</v>
      </c>
      <c r="G46" s="5" t="s">
        <v>148</v>
      </c>
      <c r="H46" s="5" t="s">
        <v>163</v>
      </c>
      <c r="I46" s="5" t="s">
        <v>153</v>
      </c>
      <c r="J46" s="5">
        <v>140</v>
      </c>
      <c r="K46" s="5" t="s">
        <v>168</v>
      </c>
      <c r="L46" s="5"/>
      <c r="M46" s="23" t="s">
        <v>92</v>
      </c>
      <c r="N46" s="5">
        <v>13099</v>
      </c>
      <c r="O46" s="6" t="s">
        <v>15</v>
      </c>
      <c r="P46" s="7">
        <v>45548</v>
      </c>
      <c r="Q46" s="7">
        <v>45565</v>
      </c>
      <c r="R46" s="7">
        <v>45568</v>
      </c>
      <c r="S46" s="5" t="s">
        <v>27</v>
      </c>
      <c r="T46" s="5" t="s">
        <v>196</v>
      </c>
    </row>
    <row r="47" spans="1:20" ht="20.100000000000001" customHeight="1" x14ac:dyDescent="0.25">
      <c r="A47" s="23">
        <v>46</v>
      </c>
      <c r="B47" s="57">
        <v>1492471</v>
      </c>
      <c r="C47" s="57">
        <v>1227052</v>
      </c>
      <c r="D47" s="5" t="s">
        <v>95</v>
      </c>
      <c r="E47" s="5" t="s">
        <v>38</v>
      </c>
      <c r="F47" s="5" t="s">
        <v>7</v>
      </c>
      <c r="G47" s="5" t="s">
        <v>148</v>
      </c>
      <c r="H47" s="5" t="s">
        <v>163</v>
      </c>
      <c r="I47" s="5" t="s">
        <v>152</v>
      </c>
      <c r="J47" s="5">
        <v>120</v>
      </c>
      <c r="K47" s="5" t="s">
        <v>171</v>
      </c>
      <c r="L47" s="5"/>
      <c r="M47" s="23" t="s">
        <v>96</v>
      </c>
      <c r="N47" s="5">
        <v>13849</v>
      </c>
      <c r="O47" s="6" t="s">
        <v>15</v>
      </c>
      <c r="P47" s="7">
        <v>45548</v>
      </c>
      <c r="Q47" s="7">
        <v>45565</v>
      </c>
      <c r="R47" s="7">
        <v>45585</v>
      </c>
      <c r="S47" s="5" t="s">
        <v>197</v>
      </c>
      <c r="T47" s="5" t="s">
        <v>196</v>
      </c>
    </row>
    <row r="48" spans="1:20" ht="20.100000000000001" customHeight="1" x14ac:dyDescent="0.25">
      <c r="A48" s="23">
        <v>47</v>
      </c>
      <c r="B48" s="57">
        <v>1507912</v>
      </c>
      <c r="C48" s="57">
        <v>1230527</v>
      </c>
      <c r="D48" s="5" t="s">
        <v>99</v>
      </c>
      <c r="E48" s="5" t="s">
        <v>100</v>
      </c>
      <c r="F48" s="5" t="s">
        <v>7</v>
      </c>
      <c r="G48" s="5" t="s">
        <v>159</v>
      </c>
      <c r="H48" s="5" t="s">
        <v>162</v>
      </c>
      <c r="I48" s="5"/>
      <c r="J48" s="5"/>
      <c r="K48" s="5" t="s">
        <v>166</v>
      </c>
      <c r="L48" s="5" t="s">
        <v>170</v>
      </c>
      <c r="M48" s="23" t="s">
        <v>101</v>
      </c>
      <c r="N48" s="5">
        <v>21999</v>
      </c>
      <c r="O48" s="6" t="s">
        <v>15</v>
      </c>
      <c r="P48" s="7">
        <v>45548</v>
      </c>
      <c r="Q48" s="7">
        <v>45565</v>
      </c>
      <c r="R48" s="5" t="s">
        <v>27</v>
      </c>
      <c r="S48" s="5" t="s">
        <v>197</v>
      </c>
      <c r="T48" s="5" t="s">
        <v>196</v>
      </c>
    </row>
    <row r="49" spans="1:20" ht="20.100000000000001" customHeight="1" x14ac:dyDescent="0.25">
      <c r="A49" s="23">
        <v>48</v>
      </c>
      <c r="B49" s="57">
        <v>1525747</v>
      </c>
      <c r="C49" s="57">
        <v>1234936</v>
      </c>
      <c r="D49" s="5" t="s">
        <v>106</v>
      </c>
      <c r="E49" s="5" t="s">
        <v>38</v>
      </c>
      <c r="F49" s="5" t="s">
        <v>7</v>
      </c>
      <c r="G49" s="5" t="s">
        <v>148</v>
      </c>
      <c r="H49" s="5" t="s">
        <v>163</v>
      </c>
      <c r="I49" s="5" t="s">
        <v>153</v>
      </c>
      <c r="J49" s="5">
        <v>80</v>
      </c>
      <c r="K49" s="5" t="s">
        <v>165</v>
      </c>
      <c r="L49" s="5"/>
      <c r="M49" s="23" t="s">
        <v>88</v>
      </c>
      <c r="N49" s="5">
        <v>10999</v>
      </c>
      <c r="O49" s="6" t="s">
        <v>15</v>
      </c>
      <c r="P49" s="7">
        <v>45548</v>
      </c>
      <c r="Q49" s="7">
        <v>45565</v>
      </c>
      <c r="R49" s="7">
        <v>45580</v>
      </c>
      <c r="S49" s="5" t="s">
        <v>197</v>
      </c>
      <c r="T49" s="5" t="s">
        <v>196</v>
      </c>
    </row>
    <row r="50" spans="1:20" ht="20.100000000000001" customHeight="1" x14ac:dyDescent="0.25">
      <c r="A50" s="23">
        <v>49</v>
      </c>
      <c r="B50" s="57">
        <v>1536313</v>
      </c>
      <c r="C50" s="57">
        <v>1237601</v>
      </c>
      <c r="D50" s="5" t="s">
        <v>108</v>
      </c>
      <c r="E50" s="5" t="s">
        <v>105</v>
      </c>
      <c r="F50" s="5" t="s">
        <v>7</v>
      </c>
      <c r="G50" s="5" t="s">
        <v>148</v>
      </c>
      <c r="H50" s="5" t="s">
        <v>169</v>
      </c>
      <c r="I50" s="5" t="s">
        <v>153</v>
      </c>
      <c r="J50" s="5">
        <v>90</v>
      </c>
      <c r="K50" s="5" t="s">
        <v>166</v>
      </c>
      <c r="L50" s="5"/>
      <c r="M50" s="23" t="s">
        <v>109</v>
      </c>
      <c r="N50" s="5">
        <v>17249</v>
      </c>
      <c r="O50" s="6" t="s">
        <v>15</v>
      </c>
      <c r="P50" s="7">
        <v>45548</v>
      </c>
      <c r="Q50" s="7">
        <v>45565</v>
      </c>
      <c r="R50" s="7">
        <v>45569</v>
      </c>
      <c r="S50" s="5" t="s">
        <v>197</v>
      </c>
      <c r="T50" s="5" t="s">
        <v>196</v>
      </c>
    </row>
    <row r="51" spans="1:20" ht="20.100000000000001" customHeight="1" x14ac:dyDescent="0.25">
      <c r="A51" s="23">
        <v>50</v>
      </c>
      <c r="B51" s="57">
        <v>1505609</v>
      </c>
      <c r="C51" s="57">
        <v>1230031</v>
      </c>
      <c r="D51" s="5" t="s">
        <v>136</v>
      </c>
      <c r="E51" s="5" t="s">
        <v>137</v>
      </c>
      <c r="F51" s="5" t="s">
        <v>7</v>
      </c>
      <c r="G51" s="5" t="s">
        <v>155</v>
      </c>
      <c r="H51" s="5" t="s">
        <v>185</v>
      </c>
      <c r="I51" s="5"/>
      <c r="J51" s="5"/>
      <c r="K51" s="5"/>
      <c r="L51" s="5"/>
      <c r="M51" s="23" t="s">
        <v>138</v>
      </c>
      <c r="N51" s="5">
        <v>8349</v>
      </c>
      <c r="O51" s="6" t="s">
        <v>15</v>
      </c>
      <c r="P51" s="7">
        <v>45549</v>
      </c>
      <c r="Q51" s="7">
        <v>45581</v>
      </c>
      <c r="R51" s="7">
        <v>45586</v>
      </c>
      <c r="S51" s="5" t="s">
        <v>197</v>
      </c>
      <c r="T51" s="5" t="s">
        <v>196</v>
      </c>
    </row>
    <row r="52" spans="1:20" ht="20.100000000000001" customHeight="1" x14ac:dyDescent="0.25">
      <c r="A52" s="23">
        <v>51</v>
      </c>
      <c r="B52" s="57">
        <v>1612229</v>
      </c>
      <c r="C52" s="57">
        <v>1254076</v>
      </c>
      <c r="D52" s="5" t="s">
        <v>116</v>
      </c>
      <c r="E52" s="5" t="s">
        <v>61</v>
      </c>
      <c r="F52" s="5" t="s">
        <v>7</v>
      </c>
      <c r="G52" s="5" t="s">
        <v>155</v>
      </c>
      <c r="H52" s="5" t="s">
        <v>186</v>
      </c>
      <c r="I52" s="5"/>
      <c r="J52" s="5"/>
      <c r="K52" s="5"/>
      <c r="L52" s="5"/>
      <c r="M52" s="23" t="s">
        <v>26</v>
      </c>
      <c r="N52" s="5">
        <v>7849</v>
      </c>
      <c r="O52" s="6" t="s">
        <v>15</v>
      </c>
      <c r="P52" s="7">
        <v>45549</v>
      </c>
      <c r="Q52" s="7">
        <v>45594</v>
      </c>
      <c r="R52" s="7">
        <v>45595</v>
      </c>
      <c r="S52" s="5" t="s">
        <v>197</v>
      </c>
      <c r="T52" s="5" t="s">
        <v>196</v>
      </c>
    </row>
    <row r="53" spans="1:20" ht="20.100000000000001" customHeight="1" x14ac:dyDescent="0.25">
      <c r="A53" s="23">
        <v>52</v>
      </c>
      <c r="B53" s="57">
        <v>1673771</v>
      </c>
      <c r="C53" s="57">
        <v>1269559</v>
      </c>
      <c r="D53" s="5" t="s">
        <v>117</v>
      </c>
      <c r="E53" s="5" t="s">
        <v>38</v>
      </c>
      <c r="F53" s="5" t="s">
        <v>7</v>
      </c>
      <c r="G53" s="5" t="s">
        <v>148</v>
      </c>
      <c r="H53" s="5" t="s">
        <v>149</v>
      </c>
      <c r="I53" s="5"/>
      <c r="J53" s="5"/>
      <c r="K53" s="5" t="s">
        <v>166</v>
      </c>
      <c r="L53" s="5" t="s">
        <v>166</v>
      </c>
      <c r="M53" s="23" t="s">
        <v>118</v>
      </c>
      <c r="N53" s="5">
        <v>9399</v>
      </c>
      <c r="O53" s="6" t="s">
        <v>113</v>
      </c>
      <c r="P53" s="7">
        <v>45549</v>
      </c>
      <c r="Q53" s="7">
        <v>45594</v>
      </c>
      <c r="R53" s="7">
        <v>45580</v>
      </c>
      <c r="S53" s="5" t="s">
        <v>197</v>
      </c>
      <c r="T53" s="5" t="s">
        <v>196</v>
      </c>
    </row>
    <row r="54" spans="1:20" ht="20.100000000000001" customHeight="1" x14ac:dyDescent="0.25">
      <c r="A54" s="23">
        <v>53</v>
      </c>
      <c r="B54" s="57">
        <v>1667352</v>
      </c>
      <c r="C54" s="57">
        <v>1267819</v>
      </c>
      <c r="D54" s="5" t="s">
        <v>119</v>
      </c>
      <c r="E54" s="5" t="s">
        <v>120</v>
      </c>
      <c r="F54" s="5" t="s">
        <v>7</v>
      </c>
      <c r="G54" s="5" t="s">
        <v>148</v>
      </c>
      <c r="H54" s="5" t="s">
        <v>151</v>
      </c>
      <c r="I54" s="5" t="s">
        <v>154</v>
      </c>
      <c r="J54" s="5">
        <v>140</v>
      </c>
      <c r="K54" s="5" t="s">
        <v>166</v>
      </c>
      <c r="L54" s="5"/>
      <c r="M54" s="23" t="s">
        <v>121</v>
      </c>
      <c r="N54" s="5">
        <v>11817</v>
      </c>
      <c r="O54" s="6" t="s">
        <v>113</v>
      </c>
      <c r="P54" s="7">
        <v>45549</v>
      </c>
      <c r="Q54" s="7">
        <v>45594</v>
      </c>
      <c r="R54" s="7">
        <v>45580</v>
      </c>
      <c r="S54" s="5" t="s">
        <v>197</v>
      </c>
      <c r="T54" s="5" t="s">
        <v>196</v>
      </c>
    </row>
    <row r="55" spans="1:20" ht="20.100000000000001" customHeight="1" x14ac:dyDescent="0.25">
      <c r="A55" s="23">
        <v>54</v>
      </c>
      <c r="B55" s="57">
        <v>1649781</v>
      </c>
      <c r="C55" s="57">
        <v>1263160</v>
      </c>
      <c r="D55" s="5" t="s">
        <v>122</v>
      </c>
      <c r="E55" s="5" t="s">
        <v>86</v>
      </c>
      <c r="F55" s="5" t="s">
        <v>7</v>
      </c>
      <c r="G55" s="5" t="s">
        <v>155</v>
      </c>
      <c r="H55" s="5" t="s">
        <v>187</v>
      </c>
      <c r="I55" s="5"/>
      <c r="J55" s="5"/>
      <c r="K55" s="5"/>
      <c r="L55" s="5"/>
      <c r="M55" s="23" t="s">
        <v>123</v>
      </c>
      <c r="N55" s="5">
        <v>8349</v>
      </c>
      <c r="O55" s="6" t="s">
        <v>113</v>
      </c>
      <c r="P55" s="7">
        <v>45549</v>
      </c>
      <c r="Q55" s="7">
        <v>45594</v>
      </c>
      <c r="R55" s="7">
        <v>45584</v>
      </c>
      <c r="S55" s="5" t="s">
        <v>197</v>
      </c>
      <c r="T55" s="5" t="s">
        <v>196</v>
      </c>
    </row>
    <row r="56" spans="1:20" ht="20.100000000000001" customHeight="1" x14ac:dyDescent="0.25">
      <c r="A56" s="35">
        <v>55</v>
      </c>
      <c r="B56" s="54">
        <v>1681476</v>
      </c>
      <c r="C56" s="54">
        <v>1271813</v>
      </c>
      <c r="D56" s="3" t="s">
        <v>126</v>
      </c>
      <c r="E56" s="3" t="s">
        <v>127</v>
      </c>
      <c r="F56" s="3" t="s">
        <v>7</v>
      </c>
      <c r="G56" s="3" t="s">
        <v>148</v>
      </c>
      <c r="H56" s="3" t="s">
        <v>151</v>
      </c>
      <c r="I56" s="3" t="s">
        <v>175</v>
      </c>
      <c r="J56" s="3">
        <v>120</v>
      </c>
      <c r="K56" s="3" t="s">
        <v>165</v>
      </c>
      <c r="L56" s="3"/>
      <c r="M56" s="38" t="s">
        <v>128</v>
      </c>
      <c r="N56" s="3">
        <v>17886</v>
      </c>
      <c r="O56" s="12" t="s">
        <v>113</v>
      </c>
      <c r="P56" s="4">
        <v>45549</v>
      </c>
      <c r="Q56" s="4">
        <v>45594</v>
      </c>
      <c r="R56" s="3"/>
      <c r="S56" s="3"/>
      <c r="T56" s="3" t="s">
        <v>191</v>
      </c>
    </row>
    <row r="57" spans="1:20" ht="20.100000000000001" customHeight="1" x14ac:dyDescent="0.25">
      <c r="A57" s="35">
        <v>56</v>
      </c>
      <c r="B57" s="54">
        <v>1681477</v>
      </c>
      <c r="C57" s="54">
        <v>1271813</v>
      </c>
      <c r="D57" s="3" t="s">
        <v>126</v>
      </c>
      <c r="E57" s="3" t="s">
        <v>127</v>
      </c>
      <c r="F57" s="3" t="s">
        <v>7</v>
      </c>
      <c r="G57" s="3" t="s">
        <v>148</v>
      </c>
      <c r="H57" s="3" t="s">
        <v>151</v>
      </c>
      <c r="I57" s="3" t="s">
        <v>175</v>
      </c>
      <c r="J57" s="3">
        <v>120</v>
      </c>
      <c r="K57" s="3" t="s">
        <v>165</v>
      </c>
      <c r="L57" s="3"/>
      <c r="M57" s="38" t="s">
        <v>128</v>
      </c>
      <c r="N57" s="3">
        <v>17886</v>
      </c>
      <c r="O57" s="12" t="s">
        <v>113</v>
      </c>
      <c r="P57" s="4">
        <v>45549</v>
      </c>
      <c r="Q57" s="4">
        <v>45594</v>
      </c>
      <c r="R57" s="3"/>
      <c r="S57" s="3"/>
      <c r="T57" s="3" t="s">
        <v>191</v>
      </c>
    </row>
    <row r="58" spans="1:20" ht="20.100000000000001" customHeight="1" x14ac:dyDescent="0.25">
      <c r="A58" s="23">
        <v>57</v>
      </c>
      <c r="B58" s="57">
        <v>1677530</v>
      </c>
      <c r="C58" s="57">
        <v>1270704</v>
      </c>
      <c r="D58" s="5" t="s">
        <v>129</v>
      </c>
      <c r="E58" s="5" t="s">
        <v>66</v>
      </c>
      <c r="F58" s="5" t="s">
        <v>7</v>
      </c>
      <c r="G58" s="5" t="s">
        <v>148</v>
      </c>
      <c r="H58" s="5" t="s">
        <v>151</v>
      </c>
      <c r="I58" s="5" t="s">
        <v>154</v>
      </c>
      <c r="J58" s="5">
        <v>120</v>
      </c>
      <c r="K58" s="5" t="s">
        <v>165</v>
      </c>
      <c r="L58" s="5"/>
      <c r="M58" s="23" t="s">
        <v>130</v>
      </c>
      <c r="N58" s="5">
        <v>10987</v>
      </c>
      <c r="O58" s="6" t="s">
        <v>15</v>
      </c>
      <c r="P58" s="7">
        <v>45549</v>
      </c>
      <c r="Q58" s="7">
        <v>45594</v>
      </c>
      <c r="R58" s="7">
        <v>45578</v>
      </c>
      <c r="S58" s="5" t="s">
        <v>197</v>
      </c>
      <c r="T58" s="5" t="s">
        <v>196</v>
      </c>
    </row>
    <row r="59" spans="1:20" ht="20.100000000000001" customHeight="1" x14ac:dyDescent="0.25">
      <c r="A59" s="23">
        <v>58</v>
      </c>
      <c r="B59" s="57">
        <v>1677528</v>
      </c>
      <c r="C59" s="57">
        <v>1270704</v>
      </c>
      <c r="D59" s="5" t="s">
        <v>129</v>
      </c>
      <c r="E59" s="5" t="s">
        <v>66</v>
      </c>
      <c r="F59" s="5" t="s">
        <v>7</v>
      </c>
      <c r="G59" s="5" t="s">
        <v>148</v>
      </c>
      <c r="H59" s="5" t="s">
        <v>151</v>
      </c>
      <c r="I59" s="5" t="s">
        <v>154</v>
      </c>
      <c r="J59" s="5">
        <v>120</v>
      </c>
      <c r="K59" s="5" t="s">
        <v>165</v>
      </c>
      <c r="L59" s="5"/>
      <c r="M59" s="23" t="s">
        <v>130</v>
      </c>
      <c r="N59" s="5">
        <v>10987</v>
      </c>
      <c r="O59" s="6" t="s">
        <v>15</v>
      </c>
      <c r="P59" s="7">
        <v>45549</v>
      </c>
      <c r="Q59" s="7">
        <v>45594</v>
      </c>
      <c r="R59" s="7">
        <v>45578</v>
      </c>
      <c r="S59" s="5" t="s">
        <v>197</v>
      </c>
      <c r="T59" s="5" t="s">
        <v>196</v>
      </c>
    </row>
    <row r="60" spans="1:20" ht="20.100000000000001" customHeight="1" x14ac:dyDescent="0.25">
      <c r="A60" s="23">
        <v>59</v>
      </c>
      <c r="B60" s="57">
        <v>1657744</v>
      </c>
      <c r="C60" s="57">
        <v>1265268</v>
      </c>
      <c r="D60" s="5" t="s">
        <v>132</v>
      </c>
      <c r="E60" s="5" t="s">
        <v>133</v>
      </c>
      <c r="F60" s="5" t="s">
        <v>7</v>
      </c>
      <c r="G60" s="5" t="s">
        <v>155</v>
      </c>
      <c r="H60" s="5" t="s">
        <v>185</v>
      </c>
      <c r="I60" s="5"/>
      <c r="J60" s="5"/>
      <c r="K60" s="5"/>
      <c r="L60" s="5"/>
      <c r="M60" s="23" t="s">
        <v>62</v>
      </c>
      <c r="N60" s="5">
        <v>10319</v>
      </c>
      <c r="O60" s="6" t="s">
        <v>15</v>
      </c>
      <c r="P60" s="7">
        <v>45549</v>
      </c>
      <c r="Q60" s="7">
        <v>45594</v>
      </c>
      <c r="R60" s="7">
        <v>45584</v>
      </c>
      <c r="S60" s="5" t="s">
        <v>197</v>
      </c>
      <c r="T60" s="5" t="s">
        <v>196</v>
      </c>
    </row>
    <row r="61" spans="1:20" ht="20.100000000000001" customHeight="1" x14ac:dyDescent="0.25">
      <c r="A61" s="23">
        <v>60</v>
      </c>
      <c r="B61" s="57">
        <v>1610613</v>
      </c>
      <c r="C61" s="57">
        <v>1253646</v>
      </c>
      <c r="D61" s="5" t="s">
        <v>110</v>
      </c>
      <c r="E61" s="5" t="s">
        <v>111</v>
      </c>
      <c r="F61" s="5" t="s">
        <v>7</v>
      </c>
      <c r="G61" s="5" t="s">
        <v>148</v>
      </c>
      <c r="H61" s="5" t="s">
        <v>163</v>
      </c>
      <c r="I61" s="5" t="s">
        <v>153</v>
      </c>
      <c r="J61" s="5">
        <v>120</v>
      </c>
      <c r="K61" s="5" t="s">
        <v>170</v>
      </c>
      <c r="L61" s="5"/>
      <c r="M61" s="23" t="s">
        <v>112</v>
      </c>
      <c r="N61" s="5">
        <v>12999</v>
      </c>
      <c r="O61" s="6" t="s">
        <v>113</v>
      </c>
      <c r="P61" s="7">
        <v>45549</v>
      </c>
      <c r="Q61" s="7">
        <v>45616</v>
      </c>
      <c r="R61" s="7">
        <v>45582</v>
      </c>
      <c r="S61" s="5" t="s">
        <v>27</v>
      </c>
      <c r="T61" s="5" t="s">
        <v>196</v>
      </c>
    </row>
    <row r="62" spans="1:20" ht="20.100000000000001" customHeight="1" x14ac:dyDescent="0.25">
      <c r="A62" s="24">
        <v>61</v>
      </c>
      <c r="B62" s="55">
        <v>1608468</v>
      </c>
      <c r="C62" s="55">
        <v>1253172</v>
      </c>
      <c r="D62" s="11" t="s">
        <v>114</v>
      </c>
      <c r="E62" s="11" t="s">
        <v>115</v>
      </c>
      <c r="F62" s="11" t="s">
        <v>7</v>
      </c>
      <c r="G62" s="11" t="s">
        <v>159</v>
      </c>
      <c r="H62" s="11" t="s">
        <v>162</v>
      </c>
      <c r="I62" s="11"/>
      <c r="J62" s="11"/>
      <c r="K62" s="11" t="s">
        <v>166</v>
      </c>
      <c r="L62" s="11" t="s">
        <v>170</v>
      </c>
      <c r="M62" s="38" t="s">
        <v>101</v>
      </c>
      <c r="N62" s="11">
        <v>21999</v>
      </c>
      <c r="O62" s="8" t="s">
        <v>15</v>
      </c>
      <c r="P62" s="9">
        <v>45549</v>
      </c>
      <c r="Q62" s="9">
        <v>45616</v>
      </c>
      <c r="R62" s="9"/>
      <c r="S62" s="11"/>
      <c r="T62" s="3" t="s">
        <v>191</v>
      </c>
    </row>
    <row r="63" spans="1:20" ht="20.100000000000001" customHeight="1" x14ac:dyDescent="0.25">
      <c r="A63" s="23">
        <v>62</v>
      </c>
      <c r="B63" s="57">
        <v>1654554</v>
      </c>
      <c r="C63" s="57">
        <v>1264469</v>
      </c>
      <c r="D63" s="5" t="s">
        <v>124</v>
      </c>
      <c r="E63" s="5" t="s">
        <v>86</v>
      </c>
      <c r="F63" s="5" t="s">
        <v>7</v>
      </c>
      <c r="G63" s="5" t="s">
        <v>148</v>
      </c>
      <c r="H63" s="5" t="s">
        <v>163</v>
      </c>
      <c r="I63" s="5" t="s">
        <v>150</v>
      </c>
      <c r="J63" s="5">
        <v>100</v>
      </c>
      <c r="K63" s="5" t="s">
        <v>170</v>
      </c>
      <c r="L63" s="5"/>
      <c r="M63" s="38" t="s">
        <v>125</v>
      </c>
      <c r="N63" s="5">
        <v>12399</v>
      </c>
      <c r="O63" s="6" t="s">
        <v>15</v>
      </c>
      <c r="P63" s="7">
        <v>45549</v>
      </c>
      <c r="Q63" s="7">
        <v>45616</v>
      </c>
      <c r="R63" s="7">
        <v>45566</v>
      </c>
      <c r="S63" s="5" t="s">
        <v>27</v>
      </c>
      <c r="T63" s="5" t="s">
        <v>196</v>
      </c>
    </row>
    <row r="64" spans="1:20" ht="20.100000000000001" customHeight="1" x14ac:dyDescent="0.25">
      <c r="A64" s="23">
        <v>63</v>
      </c>
      <c r="B64" s="57">
        <v>1644504</v>
      </c>
      <c r="C64" s="57">
        <v>1261644</v>
      </c>
      <c r="D64" s="5" t="s">
        <v>131</v>
      </c>
      <c r="E64" s="5" t="s">
        <v>66</v>
      </c>
      <c r="F64" s="5" t="s">
        <v>7</v>
      </c>
      <c r="G64" s="5" t="s">
        <v>159</v>
      </c>
      <c r="H64" s="5" t="s">
        <v>162</v>
      </c>
      <c r="I64" s="5"/>
      <c r="J64" s="5"/>
      <c r="K64" s="5" t="s">
        <v>166</v>
      </c>
      <c r="L64" s="5" t="s">
        <v>170</v>
      </c>
      <c r="M64" s="23" t="s">
        <v>101</v>
      </c>
      <c r="N64" s="5">
        <v>21999</v>
      </c>
      <c r="O64" s="6" t="s">
        <v>15</v>
      </c>
      <c r="P64" s="7">
        <v>45549</v>
      </c>
      <c r="Q64" s="7">
        <v>45616</v>
      </c>
      <c r="R64" s="7">
        <v>45574</v>
      </c>
      <c r="S64" s="5" t="s">
        <v>197</v>
      </c>
      <c r="T64" s="39" t="s">
        <v>226</v>
      </c>
    </row>
    <row r="65" spans="1:20" ht="20.100000000000001" customHeight="1" x14ac:dyDescent="0.25">
      <c r="A65" s="23">
        <v>64</v>
      </c>
      <c r="B65" s="57">
        <v>1655447</v>
      </c>
      <c r="C65" s="57">
        <v>1264684</v>
      </c>
      <c r="D65" s="5" t="s">
        <v>134</v>
      </c>
      <c r="E65" s="5" t="s">
        <v>61</v>
      </c>
      <c r="F65" s="5" t="s">
        <v>7</v>
      </c>
      <c r="G65" s="5" t="s">
        <v>148</v>
      </c>
      <c r="H65" s="5" t="s">
        <v>163</v>
      </c>
      <c r="I65" s="5" t="s">
        <v>150</v>
      </c>
      <c r="J65" s="5">
        <v>80</v>
      </c>
      <c r="K65" s="5" t="s">
        <v>165</v>
      </c>
      <c r="L65" s="5"/>
      <c r="M65" s="23" t="s">
        <v>135</v>
      </c>
      <c r="N65" s="5">
        <v>10999</v>
      </c>
      <c r="O65" s="6" t="s">
        <v>113</v>
      </c>
      <c r="P65" s="7">
        <v>45549</v>
      </c>
      <c r="Q65" s="7">
        <v>45616</v>
      </c>
      <c r="R65" s="7">
        <v>45581</v>
      </c>
      <c r="S65" s="5" t="s">
        <v>197</v>
      </c>
      <c r="T65" s="39" t="s">
        <v>226</v>
      </c>
    </row>
    <row r="66" spans="1:20" ht="20.100000000000001" customHeight="1" x14ac:dyDescent="0.25">
      <c r="A66" s="23">
        <v>65</v>
      </c>
      <c r="B66" s="57">
        <v>1679731</v>
      </c>
      <c r="C66" s="57">
        <v>1271291</v>
      </c>
      <c r="D66" s="10" t="s">
        <v>181</v>
      </c>
      <c r="E66" s="10" t="s">
        <v>182</v>
      </c>
      <c r="F66" s="5" t="s">
        <v>7</v>
      </c>
      <c r="G66" s="5" t="s">
        <v>148</v>
      </c>
      <c r="H66" s="5" t="s">
        <v>163</v>
      </c>
      <c r="I66" s="5" t="s">
        <v>153</v>
      </c>
      <c r="J66" s="5">
        <v>80</v>
      </c>
      <c r="K66" s="5" t="s">
        <v>165</v>
      </c>
      <c r="L66" s="5"/>
      <c r="M66" s="23"/>
      <c r="N66" s="5">
        <v>10999</v>
      </c>
      <c r="O66" s="6" t="s">
        <v>113</v>
      </c>
      <c r="P66" s="5" t="s">
        <v>193</v>
      </c>
      <c r="Q66" s="7">
        <v>45616</v>
      </c>
      <c r="R66" s="7">
        <v>45581</v>
      </c>
      <c r="S66" s="5" t="s">
        <v>197</v>
      </c>
      <c r="T66" s="39" t="s">
        <v>226</v>
      </c>
    </row>
    <row r="67" spans="1:20" ht="20.100000000000001" customHeight="1" x14ac:dyDescent="0.25">
      <c r="A67" s="23">
        <v>66</v>
      </c>
      <c r="B67" s="57">
        <v>1679739</v>
      </c>
      <c r="C67" s="57">
        <v>1271291</v>
      </c>
      <c r="D67" s="10" t="s">
        <v>181</v>
      </c>
      <c r="E67" s="10" t="s">
        <v>182</v>
      </c>
      <c r="F67" s="5" t="s">
        <v>7</v>
      </c>
      <c r="G67" s="5" t="s">
        <v>148</v>
      </c>
      <c r="H67" s="5" t="s">
        <v>163</v>
      </c>
      <c r="I67" s="5" t="s">
        <v>153</v>
      </c>
      <c r="J67" s="5">
        <v>80</v>
      </c>
      <c r="K67" s="5" t="s">
        <v>165</v>
      </c>
      <c r="L67" s="5"/>
      <c r="M67" s="23"/>
      <c r="N67" s="5">
        <v>10999</v>
      </c>
      <c r="O67" s="6" t="s">
        <v>113</v>
      </c>
      <c r="P67" s="5" t="s">
        <v>193</v>
      </c>
      <c r="Q67" s="7">
        <v>45616</v>
      </c>
      <c r="R67" s="7">
        <v>45581</v>
      </c>
      <c r="S67" s="5" t="s">
        <v>197</v>
      </c>
      <c r="T67" s="39" t="s">
        <v>226</v>
      </c>
    </row>
    <row r="68" spans="1:20" ht="20.100000000000001" customHeight="1" x14ac:dyDescent="0.25">
      <c r="A68" s="23">
        <v>67</v>
      </c>
      <c r="B68" s="57">
        <v>1670668</v>
      </c>
      <c r="C68" s="57">
        <v>1268695</v>
      </c>
      <c r="D68" s="10" t="s">
        <v>183</v>
      </c>
      <c r="E68" s="10" t="s">
        <v>184</v>
      </c>
      <c r="F68" s="5" t="s">
        <v>7</v>
      </c>
      <c r="G68" s="5" t="s">
        <v>159</v>
      </c>
      <c r="H68" s="5" t="s">
        <v>162</v>
      </c>
      <c r="I68" s="5"/>
      <c r="J68" s="5"/>
      <c r="K68" s="5" t="s">
        <v>166</v>
      </c>
      <c r="L68" s="5" t="s">
        <v>170</v>
      </c>
      <c r="M68" s="23"/>
      <c r="N68" s="5">
        <v>21999</v>
      </c>
      <c r="O68" s="6" t="s">
        <v>113</v>
      </c>
      <c r="P68" s="5" t="s">
        <v>193</v>
      </c>
      <c r="Q68" s="7">
        <v>45616</v>
      </c>
      <c r="R68" s="7">
        <v>45584</v>
      </c>
      <c r="S68" s="5" t="s">
        <v>197</v>
      </c>
      <c r="T68" s="5" t="s">
        <v>226</v>
      </c>
    </row>
    <row r="69" spans="1:20" ht="20.100000000000001" customHeight="1" x14ac:dyDescent="0.3">
      <c r="A69" s="48">
        <v>68</v>
      </c>
      <c r="B69" s="65">
        <v>1416625</v>
      </c>
      <c r="C69" s="65">
        <v>1205197</v>
      </c>
      <c r="D69" s="30" t="s">
        <v>194</v>
      </c>
      <c r="E69" s="30" t="s">
        <v>142</v>
      </c>
      <c r="F69" s="5" t="s">
        <v>7</v>
      </c>
      <c r="G69" s="5" t="s">
        <v>155</v>
      </c>
      <c r="H69" s="5" t="s">
        <v>185</v>
      </c>
      <c r="I69" s="30"/>
      <c r="J69" s="30"/>
      <c r="K69" s="30"/>
      <c r="L69" s="30"/>
      <c r="M69" s="5"/>
      <c r="N69" s="30">
        <v>7849</v>
      </c>
      <c r="O69" s="31">
        <v>6306</v>
      </c>
      <c r="P69" s="5" t="s">
        <v>195</v>
      </c>
      <c r="Q69" s="7">
        <v>45595</v>
      </c>
      <c r="R69" s="34">
        <v>45610</v>
      </c>
      <c r="S69" s="5" t="s">
        <v>27</v>
      </c>
      <c r="T69" s="5" t="s">
        <v>196</v>
      </c>
    </row>
    <row r="70" spans="1:20" ht="20.100000000000001" customHeight="1" x14ac:dyDescent="0.3">
      <c r="A70" s="23">
        <v>69</v>
      </c>
      <c r="B70" s="62"/>
      <c r="C70" s="62"/>
      <c r="D70" s="5" t="s">
        <v>81</v>
      </c>
      <c r="E70" s="5" t="s">
        <v>198</v>
      </c>
      <c r="F70" s="5" t="s">
        <v>55</v>
      </c>
      <c r="G70" s="5" t="s">
        <v>148</v>
      </c>
      <c r="H70" s="5" t="s">
        <v>163</v>
      </c>
      <c r="I70" s="5" t="s">
        <v>153</v>
      </c>
      <c r="J70" s="5">
        <v>80</v>
      </c>
      <c r="K70" s="5" t="s">
        <v>165</v>
      </c>
      <c r="L70" s="5"/>
      <c r="M70" s="5"/>
      <c r="N70" s="5">
        <v>5074</v>
      </c>
      <c r="O70" s="6" t="s">
        <v>83</v>
      </c>
      <c r="P70" s="7">
        <v>45556</v>
      </c>
      <c r="Q70" s="7">
        <v>45570</v>
      </c>
      <c r="R70" s="7">
        <v>45577</v>
      </c>
      <c r="S70" s="5" t="s">
        <v>197</v>
      </c>
      <c r="T70" s="39" t="s">
        <v>226</v>
      </c>
    </row>
    <row r="71" spans="1:20" ht="20.100000000000001" customHeight="1" x14ac:dyDescent="0.3">
      <c r="A71" s="23">
        <v>70</v>
      </c>
      <c r="B71" s="62">
        <v>2514</v>
      </c>
      <c r="C71" s="62">
        <v>2514</v>
      </c>
      <c r="D71" s="5" t="s">
        <v>40</v>
      </c>
      <c r="E71" s="5" t="s">
        <v>41</v>
      </c>
      <c r="F71" s="5" t="s">
        <v>42</v>
      </c>
      <c r="G71" s="5" t="s">
        <v>148</v>
      </c>
      <c r="H71" s="5" t="s">
        <v>163</v>
      </c>
      <c r="I71" s="5" t="s">
        <v>152</v>
      </c>
      <c r="J71" s="40">
        <v>100</v>
      </c>
      <c r="K71" s="5" t="s">
        <v>199</v>
      </c>
      <c r="L71" s="5"/>
      <c r="M71" s="5"/>
      <c r="N71" s="5">
        <v>6250</v>
      </c>
      <c r="O71" s="6" t="s">
        <v>83</v>
      </c>
      <c r="P71" s="7">
        <v>45558</v>
      </c>
      <c r="Q71" s="7">
        <v>45573</v>
      </c>
      <c r="R71" s="7">
        <v>45582</v>
      </c>
      <c r="S71" s="5" t="s">
        <v>197</v>
      </c>
      <c r="T71" s="39" t="s">
        <v>226</v>
      </c>
    </row>
    <row r="72" spans="1:20" ht="20.100000000000001" customHeight="1" x14ac:dyDescent="0.3">
      <c r="A72" s="23">
        <v>71</v>
      </c>
      <c r="B72" s="62">
        <v>2514</v>
      </c>
      <c r="C72" s="62">
        <v>2514</v>
      </c>
      <c r="D72" s="5" t="s">
        <v>40</v>
      </c>
      <c r="E72" s="5" t="s">
        <v>41</v>
      </c>
      <c r="F72" s="5" t="s">
        <v>42</v>
      </c>
      <c r="G72" s="5" t="s">
        <v>148</v>
      </c>
      <c r="H72" s="5" t="s">
        <v>163</v>
      </c>
      <c r="I72" s="5" t="s">
        <v>152</v>
      </c>
      <c r="J72" s="40">
        <v>100</v>
      </c>
      <c r="K72" s="5" t="s">
        <v>199</v>
      </c>
      <c r="L72" s="5"/>
      <c r="M72" s="5"/>
      <c r="N72" s="5">
        <v>6250</v>
      </c>
      <c r="O72" s="6" t="s">
        <v>83</v>
      </c>
      <c r="P72" s="7">
        <v>45558</v>
      </c>
      <c r="Q72" s="7">
        <v>45573</v>
      </c>
      <c r="R72" s="7">
        <v>45582</v>
      </c>
      <c r="S72" s="5" t="s">
        <v>197</v>
      </c>
      <c r="T72" s="39" t="s">
        <v>226</v>
      </c>
    </row>
    <row r="73" spans="1:20" ht="20.100000000000001" customHeight="1" x14ac:dyDescent="0.3">
      <c r="A73" s="23">
        <v>72</v>
      </c>
      <c r="B73" s="62">
        <v>1706794</v>
      </c>
      <c r="C73" s="62">
        <v>1281428</v>
      </c>
      <c r="D73" s="5" t="s">
        <v>200</v>
      </c>
      <c r="E73" s="5" t="s">
        <v>41</v>
      </c>
      <c r="F73" s="5" t="s">
        <v>7</v>
      </c>
      <c r="G73" s="5" t="s">
        <v>148</v>
      </c>
      <c r="H73" s="5" t="s">
        <v>151</v>
      </c>
      <c r="I73" s="5" t="s">
        <v>175</v>
      </c>
      <c r="J73" s="5">
        <v>120</v>
      </c>
      <c r="K73" s="5" t="s">
        <v>165</v>
      </c>
      <c r="L73" s="5"/>
      <c r="M73" s="5"/>
      <c r="N73" s="5">
        <v>8943</v>
      </c>
      <c r="O73" s="6">
        <v>9033</v>
      </c>
      <c r="P73" s="7">
        <v>45561</v>
      </c>
      <c r="Q73" s="7">
        <v>45606</v>
      </c>
      <c r="R73" s="7">
        <v>45575</v>
      </c>
      <c r="S73" s="5" t="s">
        <v>197</v>
      </c>
      <c r="T73" s="39" t="s">
        <v>226</v>
      </c>
    </row>
    <row r="74" spans="1:20" ht="20.100000000000001" customHeight="1" x14ac:dyDescent="0.3">
      <c r="A74" s="24">
        <v>73</v>
      </c>
      <c r="B74" s="63">
        <v>1704621</v>
      </c>
      <c r="C74" s="63">
        <v>1280197</v>
      </c>
      <c r="D74" s="11" t="s">
        <v>201</v>
      </c>
      <c r="E74" s="11" t="s">
        <v>202</v>
      </c>
      <c r="F74" s="11" t="s">
        <v>7</v>
      </c>
      <c r="G74" s="11" t="s">
        <v>155</v>
      </c>
      <c r="H74" s="11" t="s">
        <v>187</v>
      </c>
      <c r="I74" s="11"/>
      <c r="J74" s="11"/>
      <c r="K74" s="11"/>
      <c r="L74" s="11"/>
      <c r="M74" s="41"/>
      <c r="N74" s="11">
        <v>8349</v>
      </c>
      <c r="O74" s="8">
        <v>8433</v>
      </c>
      <c r="P74" s="9">
        <v>45561</v>
      </c>
      <c r="Q74" s="9">
        <v>45606</v>
      </c>
      <c r="R74" s="11"/>
      <c r="S74" s="11"/>
      <c r="T74" s="3" t="s">
        <v>191</v>
      </c>
    </row>
    <row r="75" spans="1:20" ht="20.100000000000001" customHeight="1" x14ac:dyDescent="0.3">
      <c r="A75" s="23">
        <v>74</v>
      </c>
      <c r="B75" s="62">
        <v>240078066</v>
      </c>
      <c r="C75" s="62"/>
      <c r="D75" s="5" t="s">
        <v>30</v>
      </c>
      <c r="E75" s="5" t="s">
        <v>228</v>
      </c>
      <c r="F75" s="5" t="s">
        <v>51</v>
      </c>
      <c r="G75" s="5" t="s">
        <v>203</v>
      </c>
      <c r="H75" s="5" t="s">
        <v>204</v>
      </c>
      <c r="I75" s="5"/>
      <c r="J75" s="5"/>
      <c r="K75" s="5"/>
      <c r="L75" s="5" t="s">
        <v>218</v>
      </c>
      <c r="M75" s="5"/>
      <c r="N75" s="5">
        <v>14950</v>
      </c>
      <c r="O75" s="6" t="s">
        <v>15</v>
      </c>
      <c r="P75" s="7">
        <v>45561</v>
      </c>
      <c r="Q75" s="7">
        <v>45579</v>
      </c>
      <c r="R75" s="7">
        <v>45578</v>
      </c>
      <c r="S75" s="5" t="s">
        <v>197</v>
      </c>
      <c r="T75" s="5" t="s">
        <v>196</v>
      </c>
    </row>
    <row r="76" spans="1:20" ht="20.100000000000001" customHeight="1" x14ac:dyDescent="0.25">
      <c r="A76" s="35">
        <v>75</v>
      </c>
      <c r="B76" s="58">
        <v>240077789</v>
      </c>
      <c r="C76" s="64"/>
      <c r="D76" s="3" t="s">
        <v>30</v>
      </c>
      <c r="E76" s="3"/>
      <c r="F76" s="3" t="s">
        <v>51</v>
      </c>
      <c r="G76" s="3" t="s">
        <v>148</v>
      </c>
      <c r="H76" s="3" t="s">
        <v>163</v>
      </c>
      <c r="I76" s="3" t="s">
        <v>152</v>
      </c>
      <c r="J76" s="3">
        <v>100</v>
      </c>
      <c r="K76" s="3" t="s">
        <v>205</v>
      </c>
      <c r="L76" s="3"/>
      <c r="M76" s="3"/>
      <c r="N76" s="3">
        <v>9208</v>
      </c>
      <c r="O76" s="12">
        <v>9608</v>
      </c>
      <c r="P76" s="4">
        <v>45561</v>
      </c>
      <c r="Q76" s="4">
        <v>45579</v>
      </c>
      <c r="R76" s="3"/>
      <c r="S76" s="3"/>
      <c r="T76" s="3" t="s">
        <v>221</v>
      </c>
    </row>
    <row r="77" spans="1:20" ht="20.100000000000001" customHeight="1" x14ac:dyDescent="0.25">
      <c r="A77" s="23">
        <v>76</v>
      </c>
      <c r="B77" s="59">
        <v>240078390</v>
      </c>
      <c r="C77" s="62"/>
      <c r="D77" s="5" t="s">
        <v>30</v>
      </c>
      <c r="E77" s="5"/>
      <c r="F77" s="5" t="s">
        <v>51</v>
      </c>
      <c r="G77" s="5" t="s">
        <v>148</v>
      </c>
      <c r="H77" s="5" t="s">
        <v>151</v>
      </c>
      <c r="I77" s="5" t="s">
        <v>154</v>
      </c>
      <c r="J77" s="5">
        <v>120</v>
      </c>
      <c r="K77" s="5" t="s">
        <v>165</v>
      </c>
      <c r="L77" s="5"/>
      <c r="M77" s="5"/>
      <c r="N77" s="5">
        <v>7433</v>
      </c>
      <c r="O77" s="6" t="s">
        <v>15</v>
      </c>
      <c r="P77" s="7">
        <v>45564</v>
      </c>
      <c r="Q77" s="7">
        <v>45585</v>
      </c>
      <c r="R77" s="7">
        <v>45586</v>
      </c>
      <c r="S77" s="5" t="s">
        <v>197</v>
      </c>
      <c r="T77" s="5" t="s">
        <v>196</v>
      </c>
    </row>
    <row r="78" spans="1:20" ht="20.100000000000001" customHeight="1" x14ac:dyDescent="0.3">
      <c r="A78" s="23">
        <v>77</v>
      </c>
      <c r="B78" s="62"/>
      <c r="C78" s="62"/>
      <c r="D78" s="5" t="s">
        <v>81</v>
      </c>
      <c r="E78" s="5" t="s">
        <v>198</v>
      </c>
      <c r="F78" s="5" t="s">
        <v>55</v>
      </c>
      <c r="G78" s="5" t="s">
        <v>148</v>
      </c>
      <c r="H78" s="5" t="s">
        <v>151</v>
      </c>
      <c r="I78" s="5" t="s">
        <v>175</v>
      </c>
      <c r="J78" s="5">
        <v>120</v>
      </c>
      <c r="K78" s="5" t="s">
        <v>165</v>
      </c>
      <c r="L78" s="5"/>
      <c r="M78" s="5"/>
      <c r="N78" s="5">
        <v>4020</v>
      </c>
      <c r="O78" s="6" t="s">
        <v>83</v>
      </c>
      <c r="P78" s="7">
        <v>45564</v>
      </c>
      <c r="Q78" s="7">
        <v>45577</v>
      </c>
      <c r="R78" s="7">
        <v>45577</v>
      </c>
      <c r="S78" s="5" t="s">
        <v>197</v>
      </c>
      <c r="T78" s="39" t="s">
        <v>226</v>
      </c>
    </row>
    <row r="79" spans="1:20" ht="20.100000000000001" customHeight="1" x14ac:dyDescent="0.3">
      <c r="A79" s="23">
        <v>78</v>
      </c>
      <c r="B79" s="62"/>
      <c r="C79" s="62"/>
      <c r="D79" s="5" t="s">
        <v>208</v>
      </c>
      <c r="E79" s="5" t="s">
        <v>209</v>
      </c>
      <c r="F79" s="5" t="s">
        <v>210</v>
      </c>
      <c r="G79" s="5" t="s">
        <v>148</v>
      </c>
      <c r="H79" s="5" t="s">
        <v>163</v>
      </c>
      <c r="I79" s="5" t="s">
        <v>211</v>
      </c>
      <c r="J79" s="5">
        <v>100</v>
      </c>
      <c r="K79" s="5" t="s">
        <v>212</v>
      </c>
      <c r="L79" s="5"/>
      <c r="M79" s="5"/>
      <c r="N79" s="5">
        <v>8544.9054400000005</v>
      </c>
      <c r="O79" s="6"/>
      <c r="P79" s="7">
        <v>45566</v>
      </c>
      <c r="Q79" s="7">
        <v>45574</v>
      </c>
      <c r="R79" s="7">
        <v>45574</v>
      </c>
      <c r="S79" s="5" t="s">
        <v>225</v>
      </c>
      <c r="T79" s="5" t="s">
        <v>196</v>
      </c>
    </row>
    <row r="80" spans="1:20" ht="20.100000000000001" customHeight="1" x14ac:dyDescent="0.4">
      <c r="A80" s="23">
        <v>79</v>
      </c>
      <c r="B80" s="62"/>
      <c r="C80" s="62"/>
      <c r="D80" s="5" t="s">
        <v>208</v>
      </c>
      <c r="E80" s="5" t="s">
        <v>209</v>
      </c>
      <c r="F80" s="5" t="s">
        <v>210</v>
      </c>
      <c r="G80" s="5" t="s">
        <v>148</v>
      </c>
      <c r="H80" s="5" t="s">
        <v>149</v>
      </c>
      <c r="I80" s="5"/>
      <c r="J80" s="5"/>
      <c r="K80" s="5" t="s">
        <v>215</v>
      </c>
      <c r="L80" s="5" t="s">
        <v>216</v>
      </c>
      <c r="M80" s="5"/>
      <c r="N80" s="42">
        <v>4600</v>
      </c>
      <c r="O80" s="6"/>
      <c r="P80" s="7">
        <v>45566</v>
      </c>
      <c r="Q80" s="7">
        <v>45574</v>
      </c>
      <c r="R80" s="7">
        <v>45574</v>
      </c>
      <c r="S80" s="5" t="s">
        <v>225</v>
      </c>
      <c r="T80" s="5" t="s">
        <v>196</v>
      </c>
    </row>
    <row r="81" spans="1:20" ht="20.100000000000001" customHeight="1" x14ac:dyDescent="0.3">
      <c r="A81" s="23">
        <v>80</v>
      </c>
      <c r="B81" s="62"/>
      <c r="C81" s="62"/>
      <c r="D81" s="5" t="s">
        <v>208</v>
      </c>
      <c r="E81" s="5" t="s">
        <v>209</v>
      </c>
      <c r="F81" s="5" t="s">
        <v>210</v>
      </c>
      <c r="G81" s="5" t="s">
        <v>203</v>
      </c>
      <c r="H81" s="5" t="s">
        <v>213</v>
      </c>
      <c r="I81" s="5"/>
      <c r="J81" s="5"/>
      <c r="K81" s="5" t="s">
        <v>166</v>
      </c>
      <c r="L81" s="5" t="s">
        <v>214</v>
      </c>
      <c r="M81" s="5"/>
      <c r="N81" s="5">
        <v>10000</v>
      </c>
      <c r="O81" s="6"/>
      <c r="P81" s="7">
        <v>45566</v>
      </c>
      <c r="Q81" s="7">
        <v>45574</v>
      </c>
      <c r="R81" s="7">
        <v>45574</v>
      </c>
      <c r="S81" s="5" t="s">
        <v>225</v>
      </c>
      <c r="T81" s="5" t="s">
        <v>196</v>
      </c>
    </row>
    <row r="82" spans="1:20" ht="20.100000000000001" customHeight="1" x14ac:dyDescent="0.3">
      <c r="A82" s="23">
        <v>81</v>
      </c>
      <c r="B82" s="62"/>
      <c r="C82" s="62"/>
      <c r="D82" s="5" t="s">
        <v>208</v>
      </c>
      <c r="E82" s="5" t="s">
        <v>209</v>
      </c>
      <c r="F82" s="5" t="s">
        <v>210</v>
      </c>
      <c r="G82" s="5" t="s">
        <v>217</v>
      </c>
      <c r="H82" s="5"/>
      <c r="I82" s="5"/>
      <c r="J82" s="5"/>
      <c r="K82" s="5" t="s">
        <v>166</v>
      </c>
      <c r="L82" s="5" t="s">
        <v>218</v>
      </c>
      <c r="M82" s="5"/>
      <c r="N82" s="5"/>
      <c r="O82" s="6"/>
      <c r="P82" s="7">
        <v>45566</v>
      </c>
      <c r="Q82" s="7">
        <v>45574</v>
      </c>
      <c r="R82" s="7">
        <v>45574</v>
      </c>
      <c r="S82" s="5" t="s">
        <v>225</v>
      </c>
      <c r="T82" s="5" t="s">
        <v>196</v>
      </c>
    </row>
    <row r="83" spans="1:20" ht="20.100000000000001" customHeight="1" x14ac:dyDescent="0.3">
      <c r="A83" s="35">
        <v>82</v>
      </c>
      <c r="B83" s="64">
        <v>1282228</v>
      </c>
      <c r="C83" s="64">
        <v>1708226</v>
      </c>
      <c r="D83" s="3" t="s">
        <v>219</v>
      </c>
      <c r="E83" s="3" t="s">
        <v>220</v>
      </c>
      <c r="F83" s="3" t="s">
        <v>7</v>
      </c>
      <c r="G83" s="3" t="s">
        <v>148</v>
      </c>
      <c r="H83" s="3" t="s">
        <v>149</v>
      </c>
      <c r="I83" s="3"/>
      <c r="J83" s="3"/>
      <c r="K83" s="3" t="s">
        <v>166</v>
      </c>
      <c r="L83" s="3" t="s">
        <v>166</v>
      </c>
      <c r="M83" s="3"/>
      <c r="N83" s="3">
        <v>8899</v>
      </c>
      <c r="O83" s="12">
        <v>8988</v>
      </c>
      <c r="P83" s="4">
        <v>45568</v>
      </c>
      <c r="Q83" s="4">
        <v>45613</v>
      </c>
      <c r="R83" s="3"/>
      <c r="S83" s="3"/>
      <c r="T83" s="3"/>
    </row>
    <row r="84" spans="1:20" ht="20.100000000000001" customHeight="1" x14ac:dyDescent="0.25">
      <c r="A84" s="23">
        <v>83</v>
      </c>
      <c r="B84" s="59">
        <v>240079328</v>
      </c>
      <c r="C84" s="62"/>
      <c r="D84" s="5" t="s">
        <v>30</v>
      </c>
      <c r="E84" s="5" t="s">
        <v>222</v>
      </c>
      <c r="F84" s="5" t="s">
        <v>30</v>
      </c>
      <c r="G84" s="5" t="s">
        <v>223</v>
      </c>
      <c r="H84" s="5" t="s">
        <v>204</v>
      </c>
      <c r="I84" s="5"/>
      <c r="J84" s="5"/>
      <c r="K84" s="5" t="s">
        <v>205</v>
      </c>
      <c r="L84" s="5" t="s">
        <v>224</v>
      </c>
      <c r="M84" s="5"/>
      <c r="N84" s="5">
        <v>14550</v>
      </c>
      <c r="O84" s="6" t="s">
        <v>15</v>
      </c>
      <c r="P84" s="7">
        <v>45573</v>
      </c>
      <c r="Q84" s="7">
        <v>45594</v>
      </c>
      <c r="R84" s="7">
        <v>45595</v>
      </c>
      <c r="S84" s="5" t="s">
        <v>197</v>
      </c>
      <c r="T84" s="5" t="s">
        <v>196</v>
      </c>
    </row>
    <row r="85" spans="1:20" ht="20.100000000000001" customHeight="1" x14ac:dyDescent="0.25">
      <c r="A85" s="23">
        <v>84</v>
      </c>
      <c r="B85" s="59">
        <v>240078933</v>
      </c>
      <c r="C85" s="62"/>
      <c r="D85" s="5" t="s">
        <v>30</v>
      </c>
      <c r="E85" s="5" t="s">
        <v>227</v>
      </c>
      <c r="F85" s="5" t="s">
        <v>51</v>
      </c>
      <c r="G85" s="5" t="s">
        <v>159</v>
      </c>
      <c r="H85" s="5" t="s">
        <v>204</v>
      </c>
      <c r="I85" s="5"/>
      <c r="J85" s="5"/>
      <c r="K85" s="5" t="s">
        <v>205</v>
      </c>
      <c r="L85" s="5" t="s">
        <v>224</v>
      </c>
      <c r="M85" s="5"/>
      <c r="N85" s="5">
        <v>14550</v>
      </c>
      <c r="O85" s="6" t="s">
        <v>15</v>
      </c>
      <c r="P85" s="7">
        <v>45572</v>
      </c>
      <c r="Q85" s="7">
        <v>45594</v>
      </c>
      <c r="R85" s="7">
        <v>45580</v>
      </c>
      <c r="S85" s="5" t="s">
        <v>197</v>
      </c>
      <c r="T85" s="5" t="s">
        <v>196</v>
      </c>
    </row>
    <row r="86" spans="1:20" ht="20.100000000000001" customHeight="1" x14ac:dyDescent="0.3">
      <c r="A86" s="23">
        <v>85</v>
      </c>
      <c r="B86" s="62">
        <v>240079517</v>
      </c>
      <c r="C86" s="62"/>
      <c r="D86" s="5" t="s">
        <v>30</v>
      </c>
      <c r="E86" s="5"/>
      <c r="F86" s="5" t="s">
        <v>30</v>
      </c>
      <c r="G86" s="5" t="s">
        <v>223</v>
      </c>
      <c r="H86" s="5" t="s">
        <v>204</v>
      </c>
      <c r="I86" s="5"/>
      <c r="J86" s="5"/>
      <c r="K86" s="5" t="s">
        <v>205</v>
      </c>
      <c r="L86" s="5" t="s">
        <v>218</v>
      </c>
      <c r="M86" s="5"/>
      <c r="N86" s="5">
        <v>14550</v>
      </c>
      <c r="O86" s="6">
        <v>11495</v>
      </c>
      <c r="P86" s="7">
        <v>45575</v>
      </c>
      <c r="Q86" s="7">
        <v>45596</v>
      </c>
      <c r="R86" s="7">
        <v>45598</v>
      </c>
      <c r="S86" s="5" t="s">
        <v>197</v>
      </c>
      <c r="T86" s="5" t="s">
        <v>196</v>
      </c>
    </row>
    <row r="87" spans="1:20" ht="20.100000000000001" customHeight="1" x14ac:dyDescent="0.3">
      <c r="A87" s="23">
        <v>86</v>
      </c>
      <c r="B87" s="62">
        <v>1714623</v>
      </c>
      <c r="C87" s="62">
        <v>1284697</v>
      </c>
      <c r="D87" s="5" t="s">
        <v>229</v>
      </c>
      <c r="E87" s="5" t="s">
        <v>100</v>
      </c>
      <c r="F87" s="5" t="s">
        <v>7</v>
      </c>
      <c r="G87" s="5" t="s">
        <v>148</v>
      </c>
      <c r="H87" s="5" t="s">
        <v>163</v>
      </c>
      <c r="I87" s="5" t="s">
        <v>230</v>
      </c>
      <c r="J87" s="5" t="s">
        <v>231</v>
      </c>
      <c r="K87" s="5" t="s">
        <v>232</v>
      </c>
      <c r="L87" s="5"/>
      <c r="M87" s="5"/>
      <c r="N87" s="5">
        <v>12899</v>
      </c>
      <c r="O87" s="6">
        <v>13028</v>
      </c>
      <c r="P87" s="7">
        <v>45578</v>
      </c>
      <c r="Q87" s="7">
        <v>45643</v>
      </c>
      <c r="R87" s="7">
        <v>45598</v>
      </c>
      <c r="S87" s="5" t="s">
        <v>197</v>
      </c>
      <c r="T87" s="5" t="s">
        <v>196</v>
      </c>
    </row>
    <row r="88" spans="1:20" ht="20.100000000000001" customHeight="1" x14ac:dyDescent="0.25">
      <c r="A88" s="23">
        <v>87</v>
      </c>
      <c r="B88" s="59">
        <v>1715473</v>
      </c>
      <c r="C88" s="59">
        <v>1285152</v>
      </c>
      <c r="D88" s="5" t="s">
        <v>233</v>
      </c>
      <c r="E88" s="5" t="s">
        <v>48</v>
      </c>
      <c r="F88" s="5" t="s">
        <v>7</v>
      </c>
      <c r="G88" s="5" t="s">
        <v>148</v>
      </c>
      <c r="H88" s="5" t="s">
        <v>163</v>
      </c>
      <c r="I88" s="5" t="s">
        <v>153</v>
      </c>
      <c r="J88" s="40">
        <v>80</v>
      </c>
      <c r="K88" s="5" t="s">
        <v>165</v>
      </c>
      <c r="L88" s="5"/>
      <c r="M88" s="5"/>
      <c r="N88" s="5">
        <v>10499</v>
      </c>
      <c r="O88" s="6" t="s">
        <v>15</v>
      </c>
      <c r="P88" s="7">
        <v>45581</v>
      </c>
      <c r="Q88" s="7">
        <v>45645</v>
      </c>
      <c r="R88" s="7">
        <v>45586</v>
      </c>
      <c r="S88" s="5" t="s">
        <v>197</v>
      </c>
      <c r="T88" s="5" t="s">
        <v>196</v>
      </c>
    </row>
    <row r="89" spans="1:20" ht="20.100000000000001" customHeight="1" x14ac:dyDescent="0.3">
      <c r="A89" s="23">
        <v>89</v>
      </c>
      <c r="B89" s="62">
        <v>1715992</v>
      </c>
      <c r="C89" s="62">
        <v>1285423</v>
      </c>
      <c r="D89" s="5" t="s">
        <v>235</v>
      </c>
      <c r="E89" s="5" t="s">
        <v>236</v>
      </c>
      <c r="F89" s="5" t="s">
        <v>7</v>
      </c>
      <c r="G89" s="5" t="s">
        <v>148</v>
      </c>
      <c r="H89" s="5" t="s">
        <v>163</v>
      </c>
      <c r="I89" s="5" t="s">
        <v>150</v>
      </c>
      <c r="J89" s="5" t="s">
        <v>237</v>
      </c>
      <c r="K89" s="5" t="s">
        <v>232</v>
      </c>
      <c r="L89" s="5"/>
      <c r="M89" s="5"/>
      <c r="N89" s="5">
        <v>12899</v>
      </c>
      <c r="O89" s="6" t="s">
        <v>15</v>
      </c>
      <c r="P89" s="7">
        <v>45582</v>
      </c>
      <c r="Q89" s="7">
        <v>45648</v>
      </c>
      <c r="R89" s="7">
        <v>45629</v>
      </c>
      <c r="S89" s="5" t="s">
        <v>27</v>
      </c>
      <c r="T89" s="5" t="s">
        <v>226</v>
      </c>
    </row>
    <row r="90" spans="1:20" ht="20.100000000000001" customHeight="1" x14ac:dyDescent="0.3">
      <c r="A90" s="23">
        <v>90</v>
      </c>
      <c r="B90" s="62" t="s">
        <v>239</v>
      </c>
      <c r="C90" s="65"/>
      <c r="D90" s="5" t="s">
        <v>238</v>
      </c>
      <c r="E90" s="5" t="s">
        <v>240</v>
      </c>
      <c r="F90" s="5" t="s">
        <v>241</v>
      </c>
      <c r="G90" s="5" t="s">
        <v>148</v>
      </c>
      <c r="H90" s="5" t="s">
        <v>151</v>
      </c>
      <c r="I90" s="5" t="s">
        <v>242</v>
      </c>
      <c r="J90" s="5">
        <v>140</v>
      </c>
      <c r="K90" s="5" t="s">
        <v>218</v>
      </c>
      <c r="L90" s="5" t="s">
        <v>243</v>
      </c>
      <c r="M90" s="5"/>
      <c r="N90" s="5">
        <v>5135</v>
      </c>
      <c r="O90" s="6" t="s">
        <v>15</v>
      </c>
      <c r="P90" s="7">
        <v>45585</v>
      </c>
      <c r="Q90" s="7">
        <v>45613</v>
      </c>
      <c r="R90" s="7">
        <v>45610</v>
      </c>
      <c r="S90" s="5" t="s">
        <v>197</v>
      </c>
      <c r="T90" s="5" t="s">
        <v>196</v>
      </c>
    </row>
    <row r="91" spans="1:20" ht="20.100000000000001" customHeight="1" x14ac:dyDescent="0.3">
      <c r="A91" s="23">
        <v>91</v>
      </c>
      <c r="B91" s="62">
        <v>240080607</v>
      </c>
      <c r="C91" s="62"/>
      <c r="D91" s="5" t="s">
        <v>30</v>
      </c>
      <c r="E91" s="5" t="s">
        <v>202</v>
      </c>
      <c r="F91" s="5" t="s">
        <v>51</v>
      </c>
      <c r="G91" s="5" t="s">
        <v>148</v>
      </c>
      <c r="H91" s="5" t="s">
        <v>163</v>
      </c>
      <c r="I91" s="5" t="s">
        <v>244</v>
      </c>
      <c r="J91" s="5">
        <v>100</v>
      </c>
      <c r="K91" s="5" t="s">
        <v>245</v>
      </c>
      <c r="L91" s="5"/>
      <c r="M91" s="5"/>
      <c r="N91" s="5">
        <v>12777.5</v>
      </c>
      <c r="O91" s="6">
        <v>11277.5</v>
      </c>
      <c r="P91" s="7">
        <v>45587</v>
      </c>
      <c r="Q91" s="7">
        <v>45608</v>
      </c>
      <c r="R91" s="7">
        <v>45614</v>
      </c>
      <c r="S91" s="5" t="s">
        <v>197</v>
      </c>
      <c r="T91" s="5" t="s">
        <v>196</v>
      </c>
    </row>
    <row r="92" spans="1:20" ht="20.100000000000001" customHeight="1" x14ac:dyDescent="0.3">
      <c r="A92" s="23">
        <v>92</v>
      </c>
      <c r="B92" s="62">
        <v>240080607</v>
      </c>
      <c r="C92" s="62"/>
      <c r="D92" s="5" t="s">
        <v>30</v>
      </c>
      <c r="E92" s="5" t="s">
        <v>202</v>
      </c>
      <c r="F92" s="5" t="s">
        <v>51</v>
      </c>
      <c r="G92" s="5" t="s">
        <v>148</v>
      </c>
      <c r="H92" s="5" t="s">
        <v>163</v>
      </c>
      <c r="I92" s="5" t="s">
        <v>244</v>
      </c>
      <c r="J92" s="5">
        <v>100</v>
      </c>
      <c r="K92" s="5" t="s">
        <v>245</v>
      </c>
      <c r="L92" s="5"/>
      <c r="M92" s="5"/>
      <c r="N92" s="5">
        <v>12777.5</v>
      </c>
      <c r="O92" s="6">
        <v>11277.5</v>
      </c>
      <c r="P92" s="7">
        <v>45587</v>
      </c>
      <c r="Q92" s="7">
        <v>45608</v>
      </c>
      <c r="R92" s="7">
        <v>45614</v>
      </c>
      <c r="S92" s="5" t="s">
        <v>197</v>
      </c>
      <c r="T92" s="5" t="s">
        <v>196</v>
      </c>
    </row>
    <row r="93" spans="1:20" ht="20.100000000000001" customHeight="1" x14ac:dyDescent="0.3">
      <c r="A93" s="35">
        <v>93</v>
      </c>
      <c r="B93" s="64"/>
      <c r="C93" s="64"/>
      <c r="D93" s="3" t="s">
        <v>81</v>
      </c>
      <c r="E93" s="3" t="s">
        <v>246</v>
      </c>
      <c r="F93" s="3" t="s">
        <v>55</v>
      </c>
      <c r="G93" s="3" t="s">
        <v>148</v>
      </c>
      <c r="H93" s="3" t="s">
        <v>163</v>
      </c>
      <c r="I93" s="3" t="s">
        <v>244</v>
      </c>
      <c r="J93" s="3">
        <v>100</v>
      </c>
      <c r="K93" s="3" t="s">
        <v>245</v>
      </c>
      <c r="L93" s="3"/>
      <c r="M93" s="3"/>
      <c r="N93" s="3">
        <v>8544.91</v>
      </c>
      <c r="O93" s="12" t="s">
        <v>83</v>
      </c>
      <c r="P93" s="4">
        <v>45587</v>
      </c>
      <c r="Q93" s="3" t="s">
        <v>247</v>
      </c>
      <c r="R93" s="3"/>
      <c r="S93" s="3"/>
      <c r="T93" s="3" t="s">
        <v>272</v>
      </c>
    </row>
    <row r="94" spans="1:20" ht="20.100000000000001" customHeight="1" x14ac:dyDescent="0.3">
      <c r="A94" s="23">
        <v>94</v>
      </c>
      <c r="B94" s="62">
        <v>1717458</v>
      </c>
      <c r="C94" s="62">
        <v>1286189</v>
      </c>
      <c r="D94" s="5" t="s">
        <v>248</v>
      </c>
      <c r="E94" s="5" t="s">
        <v>249</v>
      </c>
      <c r="F94" s="5" t="s">
        <v>7</v>
      </c>
      <c r="G94" s="5" t="s">
        <v>148</v>
      </c>
      <c r="H94" s="5" t="s">
        <v>151</v>
      </c>
      <c r="I94" s="5" t="s">
        <v>175</v>
      </c>
      <c r="J94" s="5">
        <v>120</v>
      </c>
      <c r="K94" s="5" t="s">
        <v>165</v>
      </c>
      <c r="L94" s="5"/>
      <c r="M94" s="5"/>
      <c r="N94" s="5">
        <v>8943</v>
      </c>
      <c r="O94" s="6">
        <v>9007.01</v>
      </c>
      <c r="P94" s="7">
        <v>45586</v>
      </c>
      <c r="Q94" s="7">
        <v>45610</v>
      </c>
      <c r="R94" s="7">
        <v>45614</v>
      </c>
      <c r="S94" s="5" t="s">
        <v>197</v>
      </c>
      <c r="T94" s="5" t="s">
        <v>196</v>
      </c>
    </row>
    <row r="95" spans="1:20" ht="20.100000000000001" customHeight="1" x14ac:dyDescent="0.25">
      <c r="A95" s="23">
        <v>95</v>
      </c>
      <c r="B95" s="59">
        <v>240080858</v>
      </c>
      <c r="C95" s="62"/>
      <c r="D95" s="5" t="s">
        <v>30</v>
      </c>
      <c r="E95" s="5"/>
      <c r="F95" s="5" t="s">
        <v>51</v>
      </c>
      <c r="G95" s="5" t="s">
        <v>203</v>
      </c>
      <c r="H95" s="5" t="s">
        <v>204</v>
      </c>
      <c r="I95" s="5"/>
      <c r="J95" s="5"/>
      <c r="K95" s="5" t="s">
        <v>166</v>
      </c>
      <c r="L95" s="5"/>
      <c r="M95" s="5"/>
      <c r="N95" s="5">
        <v>15516</v>
      </c>
      <c r="O95" s="6" t="s">
        <v>15</v>
      </c>
      <c r="P95" s="7">
        <v>45589</v>
      </c>
      <c r="Q95" s="7">
        <v>45610</v>
      </c>
      <c r="R95" s="7">
        <v>45595</v>
      </c>
      <c r="S95" s="5" t="s">
        <v>197</v>
      </c>
      <c r="T95" s="5" t="s">
        <v>196</v>
      </c>
    </row>
    <row r="96" spans="1:20" ht="20.100000000000001" customHeight="1" x14ac:dyDescent="0.25">
      <c r="A96" s="35">
        <v>96</v>
      </c>
      <c r="B96" s="58">
        <v>240081061</v>
      </c>
      <c r="C96" s="64"/>
      <c r="D96" s="3" t="s">
        <v>30</v>
      </c>
      <c r="E96" s="3"/>
      <c r="F96" s="3" t="s">
        <v>51</v>
      </c>
      <c r="G96" s="3" t="s">
        <v>148</v>
      </c>
      <c r="H96" s="3" t="s">
        <v>163</v>
      </c>
      <c r="I96" s="3" t="s">
        <v>152</v>
      </c>
      <c r="J96" s="3">
        <v>100</v>
      </c>
      <c r="K96" s="3" t="s">
        <v>166</v>
      </c>
      <c r="L96" s="3"/>
      <c r="M96" s="3"/>
      <c r="N96" s="3">
        <v>10045</v>
      </c>
      <c r="O96" s="12">
        <v>8879</v>
      </c>
      <c r="P96" s="4">
        <v>45591</v>
      </c>
      <c r="Q96" s="4">
        <v>45612</v>
      </c>
      <c r="R96" s="4"/>
      <c r="S96" s="3"/>
      <c r="T96" s="3" t="s">
        <v>234</v>
      </c>
    </row>
    <row r="97" spans="1:20" ht="20.100000000000001" customHeight="1" x14ac:dyDescent="0.25">
      <c r="A97" s="23">
        <v>97</v>
      </c>
      <c r="B97" s="59">
        <v>1718948</v>
      </c>
      <c r="C97" s="59">
        <v>1286883</v>
      </c>
      <c r="D97" s="5" t="s">
        <v>129</v>
      </c>
      <c r="E97" s="5" t="s">
        <v>250</v>
      </c>
      <c r="F97" s="5" t="s">
        <v>7</v>
      </c>
      <c r="G97" s="5" t="s">
        <v>148</v>
      </c>
      <c r="H97" s="5" t="s">
        <v>163</v>
      </c>
      <c r="I97" s="5" t="s">
        <v>152</v>
      </c>
      <c r="J97" s="5">
        <v>90</v>
      </c>
      <c r="K97" s="5" t="s">
        <v>166</v>
      </c>
      <c r="L97" s="5"/>
      <c r="M97" s="5"/>
      <c r="N97" s="5">
        <v>11649</v>
      </c>
      <c r="O97" s="6">
        <v>11749</v>
      </c>
      <c r="P97" s="7">
        <v>45591</v>
      </c>
      <c r="Q97" s="7">
        <v>45606</v>
      </c>
      <c r="R97" s="7">
        <v>45614</v>
      </c>
      <c r="S97" s="5" t="s">
        <v>197</v>
      </c>
      <c r="T97" s="5" t="s">
        <v>196</v>
      </c>
    </row>
    <row r="98" spans="1:20" ht="20.100000000000001" customHeight="1" x14ac:dyDescent="0.25">
      <c r="A98" s="23">
        <v>98</v>
      </c>
      <c r="B98" s="59">
        <v>1718949</v>
      </c>
      <c r="C98" s="59">
        <v>1286883</v>
      </c>
      <c r="D98" s="5" t="s">
        <v>129</v>
      </c>
      <c r="E98" s="5" t="s">
        <v>250</v>
      </c>
      <c r="F98" s="5" t="s">
        <v>7</v>
      </c>
      <c r="G98" s="5" t="s">
        <v>148</v>
      </c>
      <c r="H98" s="5" t="s">
        <v>163</v>
      </c>
      <c r="I98" s="5" t="s">
        <v>152</v>
      </c>
      <c r="J98" s="5">
        <v>90</v>
      </c>
      <c r="K98" s="5" t="s">
        <v>166</v>
      </c>
      <c r="L98" s="5"/>
      <c r="M98" s="5"/>
      <c r="N98" s="5">
        <v>11649</v>
      </c>
      <c r="O98" s="6">
        <v>11749</v>
      </c>
      <c r="P98" s="7">
        <v>45591</v>
      </c>
      <c r="Q98" s="7">
        <v>45606</v>
      </c>
      <c r="R98" s="7">
        <v>45614</v>
      </c>
      <c r="S98" s="5" t="s">
        <v>197</v>
      </c>
      <c r="T98" s="5" t="s">
        <v>196</v>
      </c>
    </row>
    <row r="99" spans="1:20" ht="20.100000000000001" customHeight="1" x14ac:dyDescent="0.3">
      <c r="A99" s="23">
        <v>99</v>
      </c>
      <c r="B99" s="62"/>
      <c r="C99" s="62"/>
      <c r="D99" s="5" t="s">
        <v>251</v>
      </c>
      <c r="E99" s="5" t="s">
        <v>105</v>
      </c>
      <c r="F99" s="5" t="s">
        <v>252</v>
      </c>
      <c r="G99" s="5" t="s">
        <v>148</v>
      </c>
      <c r="H99" s="5" t="s">
        <v>151</v>
      </c>
      <c r="I99" s="5" t="s">
        <v>154</v>
      </c>
      <c r="J99" s="5">
        <v>100</v>
      </c>
      <c r="K99" s="5" t="s">
        <v>165</v>
      </c>
      <c r="L99" s="5"/>
      <c r="M99" s="5"/>
      <c r="N99" s="5" t="s">
        <v>253</v>
      </c>
      <c r="O99" s="6">
        <v>4800</v>
      </c>
      <c r="P99" s="7">
        <v>45593</v>
      </c>
      <c r="Q99" s="7">
        <v>45607</v>
      </c>
      <c r="R99" s="7">
        <v>45617</v>
      </c>
      <c r="S99" s="5" t="s">
        <v>197</v>
      </c>
      <c r="T99" s="5" t="s">
        <v>196</v>
      </c>
    </row>
    <row r="100" spans="1:20" ht="20.100000000000001" customHeight="1" x14ac:dyDescent="0.3">
      <c r="A100" s="23">
        <v>100</v>
      </c>
      <c r="B100" s="62"/>
      <c r="C100" s="62"/>
      <c r="D100" s="5" t="s">
        <v>251</v>
      </c>
      <c r="E100" s="5" t="s">
        <v>105</v>
      </c>
      <c r="F100" s="5" t="s">
        <v>252</v>
      </c>
      <c r="G100" s="5" t="s">
        <v>148</v>
      </c>
      <c r="H100" s="5" t="s">
        <v>151</v>
      </c>
      <c r="I100" s="5" t="s">
        <v>154</v>
      </c>
      <c r="J100" s="5">
        <v>120</v>
      </c>
      <c r="K100" s="5" t="s">
        <v>165</v>
      </c>
      <c r="L100" s="5"/>
      <c r="M100" s="5"/>
      <c r="N100" s="5" t="s">
        <v>254</v>
      </c>
      <c r="O100" s="6">
        <v>4800</v>
      </c>
      <c r="P100" s="7">
        <v>45593</v>
      </c>
      <c r="Q100" s="7">
        <v>45607</v>
      </c>
      <c r="R100" s="7">
        <v>45617</v>
      </c>
      <c r="S100" s="5" t="s">
        <v>197</v>
      </c>
      <c r="T100" s="5" t="s">
        <v>196</v>
      </c>
    </row>
    <row r="101" spans="1:20" ht="20.100000000000001" customHeight="1" x14ac:dyDescent="0.25">
      <c r="A101" s="23">
        <v>101</v>
      </c>
      <c r="B101" s="59">
        <v>1744766</v>
      </c>
      <c r="C101" s="59">
        <v>1298738</v>
      </c>
      <c r="D101" s="5" t="s">
        <v>255</v>
      </c>
      <c r="E101" s="5" t="s">
        <v>262</v>
      </c>
      <c r="F101" s="5" t="s">
        <v>7</v>
      </c>
      <c r="G101" s="5" t="s">
        <v>148</v>
      </c>
      <c r="H101" s="5" t="s">
        <v>163</v>
      </c>
      <c r="I101" s="5" t="s">
        <v>153</v>
      </c>
      <c r="J101" s="5">
        <v>80</v>
      </c>
      <c r="K101" s="5" t="s">
        <v>165</v>
      </c>
      <c r="L101" s="5"/>
      <c r="M101" s="5"/>
      <c r="N101" s="5">
        <v>12099</v>
      </c>
      <c r="O101" s="6" t="s">
        <v>15</v>
      </c>
      <c r="P101" s="7">
        <v>45607</v>
      </c>
      <c r="Q101" s="7">
        <v>45622</v>
      </c>
      <c r="R101" s="7">
        <v>45623</v>
      </c>
      <c r="S101" s="5" t="s">
        <v>197</v>
      </c>
      <c r="T101" s="5" t="s">
        <v>196</v>
      </c>
    </row>
    <row r="102" spans="1:20" ht="20.100000000000001" customHeight="1" x14ac:dyDescent="0.25">
      <c r="A102" s="23">
        <v>102</v>
      </c>
      <c r="B102" s="59">
        <v>240082226</v>
      </c>
      <c r="C102" s="62"/>
      <c r="D102" s="5" t="s">
        <v>51</v>
      </c>
      <c r="E102" s="5" t="s">
        <v>222</v>
      </c>
      <c r="F102" s="5" t="s">
        <v>51</v>
      </c>
      <c r="G102" s="5" t="s">
        <v>203</v>
      </c>
      <c r="H102" s="5" t="s">
        <v>204</v>
      </c>
      <c r="I102" s="5" t="s">
        <v>256</v>
      </c>
      <c r="J102" s="5"/>
      <c r="K102" s="5" t="s">
        <v>205</v>
      </c>
      <c r="L102" s="5" t="s">
        <v>257</v>
      </c>
      <c r="M102" s="5"/>
      <c r="N102" s="5">
        <v>15872</v>
      </c>
      <c r="O102" s="6" t="s">
        <v>258</v>
      </c>
      <c r="P102" s="7">
        <v>45604</v>
      </c>
      <c r="Q102" s="5" t="s">
        <v>259</v>
      </c>
      <c r="R102" s="7">
        <v>45610</v>
      </c>
      <c r="S102" s="5" t="s">
        <v>197</v>
      </c>
      <c r="T102" s="5" t="s">
        <v>196</v>
      </c>
    </row>
    <row r="103" spans="1:20" ht="20.100000000000001" customHeight="1" x14ac:dyDescent="0.3">
      <c r="A103" s="23">
        <v>103</v>
      </c>
      <c r="B103" s="62" t="s">
        <v>260</v>
      </c>
      <c r="C103" s="62"/>
      <c r="D103" s="5" t="s">
        <v>261</v>
      </c>
      <c r="E103" s="5" t="s">
        <v>33</v>
      </c>
      <c r="F103" s="5" t="s">
        <v>261</v>
      </c>
      <c r="G103" s="5" t="s">
        <v>148</v>
      </c>
      <c r="H103" s="5" t="s">
        <v>151</v>
      </c>
      <c r="I103" s="5" t="s">
        <v>175</v>
      </c>
      <c r="J103" s="5">
        <v>120</v>
      </c>
      <c r="K103" s="5" t="s">
        <v>165</v>
      </c>
      <c r="L103" s="5"/>
      <c r="M103" s="5"/>
      <c r="N103" s="5">
        <v>4520</v>
      </c>
      <c r="O103" s="6" t="s">
        <v>83</v>
      </c>
      <c r="P103" s="7">
        <v>45606</v>
      </c>
      <c r="Q103" s="7">
        <v>45618</v>
      </c>
      <c r="R103" s="7">
        <v>45617</v>
      </c>
      <c r="S103" s="5" t="s">
        <v>197</v>
      </c>
      <c r="T103" s="5" t="s">
        <v>196</v>
      </c>
    </row>
    <row r="104" spans="1:20" ht="20.100000000000001" customHeight="1" x14ac:dyDescent="0.3">
      <c r="A104" s="23">
        <v>104</v>
      </c>
      <c r="B104" s="62" t="s">
        <v>263</v>
      </c>
      <c r="C104" s="62"/>
      <c r="D104" s="5" t="s">
        <v>81</v>
      </c>
      <c r="E104" s="5" t="s">
        <v>198</v>
      </c>
      <c r="F104" s="5" t="s">
        <v>55</v>
      </c>
      <c r="G104" s="5" t="s">
        <v>148</v>
      </c>
      <c r="H104" s="5" t="s">
        <v>163</v>
      </c>
      <c r="I104" s="5" t="s">
        <v>152</v>
      </c>
      <c r="J104" s="5">
        <v>90</v>
      </c>
      <c r="K104" s="5" t="s">
        <v>166</v>
      </c>
      <c r="L104" s="5"/>
      <c r="M104" s="5"/>
      <c r="N104" s="5">
        <v>5766</v>
      </c>
      <c r="O104" s="6" t="s">
        <v>83</v>
      </c>
      <c r="P104" s="7">
        <v>45608</v>
      </c>
      <c r="Q104" s="7">
        <v>45622</v>
      </c>
      <c r="R104" s="7">
        <v>45621</v>
      </c>
      <c r="S104" s="5" t="s">
        <v>197</v>
      </c>
      <c r="T104" s="5" t="s">
        <v>196</v>
      </c>
    </row>
    <row r="105" spans="1:20" ht="20.100000000000001" customHeight="1" x14ac:dyDescent="0.25">
      <c r="A105" s="23">
        <v>105</v>
      </c>
      <c r="B105" s="59">
        <v>1752544</v>
      </c>
      <c r="C105" s="59">
        <v>1302011</v>
      </c>
      <c r="D105" s="5" t="s">
        <v>264</v>
      </c>
      <c r="E105" s="5" t="s">
        <v>105</v>
      </c>
      <c r="F105" s="5" t="s">
        <v>7</v>
      </c>
      <c r="G105" s="5" t="s">
        <v>148</v>
      </c>
      <c r="H105" s="5" t="s">
        <v>151</v>
      </c>
      <c r="I105" s="5" t="s">
        <v>175</v>
      </c>
      <c r="J105" s="5">
        <v>160</v>
      </c>
      <c r="K105" s="5" t="s">
        <v>171</v>
      </c>
      <c r="L105" s="5"/>
      <c r="M105" s="5"/>
      <c r="N105" s="5">
        <v>11395</v>
      </c>
      <c r="O105" s="6" t="s">
        <v>15</v>
      </c>
      <c r="P105" s="7">
        <v>45608</v>
      </c>
      <c r="Q105" s="7">
        <v>45620</v>
      </c>
      <c r="R105" s="7">
        <v>45623</v>
      </c>
      <c r="S105" s="5" t="s">
        <v>197</v>
      </c>
      <c r="T105" s="5" t="s">
        <v>196</v>
      </c>
    </row>
    <row r="106" spans="1:20" ht="20.100000000000001" customHeight="1" x14ac:dyDescent="0.25">
      <c r="A106" s="23">
        <v>106</v>
      </c>
      <c r="B106" s="59">
        <v>1755075</v>
      </c>
      <c r="C106" s="59">
        <v>1303159</v>
      </c>
      <c r="D106" s="5" t="s">
        <v>265</v>
      </c>
      <c r="E106" s="5" t="s">
        <v>33</v>
      </c>
      <c r="F106" s="5" t="s">
        <v>7</v>
      </c>
      <c r="G106" s="5" t="s">
        <v>148</v>
      </c>
      <c r="H106" s="5" t="s">
        <v>163</v>
      </c>
      <c r="I106" s="5" t="s">
        <v>266</v>
      </c>
      <c r="J106" s="5">
        <v>80</v>
      </c>
      <c r="K106" s="5" t="s">
        <v>165</v>
      </c>
      <c r="L106" s="5"/>
      <c r="M106" s="5"/>
      <c r="N106" s="5">
        <v>12919</v>
      </c>
      <c r="O106" s="6" t="s">
        <v>15</v>
      </c>
      <c r="P106" s="7">
        <v>45610</v>
      </c>
      <c r="Q106" s="7">
        <v>45626</v>
      </c>
      <c r="R106" s="7">
        <v>45623</v>
      </c>
      <c r="S106" s="5" t="s">
        <v>197</v>
      </c>
      <c r="T106" s="5" t="s">
        <v>196</v>
      </c>
    </row>
    <row r="107" spans="1:20" ht="20.100000000000001" customHeight="1" x14ac:dyDescent="0.3">
      <c r="A107" s="23">
        <v>107</v>
      </c>
      <c r="B107" s="62" t="s">
        <v>267</v>
      </c>
      <c r="C107" s="62"/>
      <c r="D107" s="5" t="s">
        <v>81</v>
      </c>
      <c r="E107" s="5" t="s">
        <v>198</v>
      </c>
      <c r="F107" s="5" t="s">
        <v>55</v>
      </c>
      <c r="G107" s="5" t="s">
        <v>268</v>
      </c>
      <c r="H107" s="5" t="s">
        <v>163</v>
      </c>
      <c r="I107" s="5" t="s">
        <v>150</v>
      </c>
      <c r="J107" s="5">
        <v>120</v>
      </c>
      <c r="K107" s="5" t="s">
        <v>170</v>
      </c>
      <c r="L107" s="5"/>
      <c r="M107" s="5"/>
      <c r="N107" s="5">
        <v>6376</v>
      </c>
      <c r="O107" s="6" t="s">
        <v>83</v>
      </c>
      <c r="P107" s="7">
        <v>45610</v>
      </c>
      <c r="Q107" s="7">
        <v>45623</v>
      </c>
      <c r="R107" s="7">
        <v>45621</v>
      </c>
      <c r="S107" s="5" t="s">
        <v>197</v>
      </c>
      <c r="T107" s="5" t="s">
        <v>196</v>
      </c>
    </row>
    <row r="108" spans="1:20" ht="20.100000000000001" customHeight="1" x14ac:dyDescent="0.3">
      <c r="A108" s="23">
        <v>108</v>
      </c>
      <c r="B108" s="62" t="s">
        <v>269</v>
      </c>
      <c r="C108" s="62"/>
      <c r="D108" s="5" t="s">
        <v>81</v>
      </c>
      <c r="E108" s="5" t="s">
        <v>270</v>
      </c>
      <c r="F108" s="5" t="s">
        <v>55</v>
      </c>
      <c r="G108" s="5" t="s">
        <v>148</v>
      </c>
      <c r="H108" s="5" t="s">
        <v>271</v>
      </c>
      <c r="I108" s="5" t="s">
        <v>150</v>
      </c>
      <c r="J108" s="5">
        <v>90</v>
      </c>
      <c r="K108" s="5" t="s">
        <v>166</v>
      </c>
      <c r="L108" s="5"/>
      <c r="M108" s="5"/>
      <c r="N108" s="5">
        <v>5294</v>
      </c>
      <c r="O108" s="6" t="s">
        <v>83</v>
      </c>
      <c r="P108" s="7">
        <v>45610</v>
      </c>
      <c r="Q108" s="7">
        <v>45623</v>
      </c>
      <c r="R108" s="7">
        <v>45621</v>
      </c>
      <c r="S108" s="5" t="s">
        <v>197</v>
      </c>
      <c r="T108" s="5" t="s">
        <v>196</v>
      </c>
    </row>
    <row r="109" spans="1:20" ht="20.100000000000001" customHeight="1" x14ac:dyDescent="0.25">
      <c r="A109" s="23">
        <v>109</v>
      </c>
      <c r="B109" s="59">
        <v>265453625</v>
      </c>
      <c r="C109" s="62"/>
      <c r="D109" s="5" t="s">
        <v>273</v>
      </c>
      <c r="E109" s="5" t="s">
        <v>38</v>
      </c>
      <c r="F109" s="5" t="s">
        <v>274</v>
      </c>
      <c r="G109" s="5" t="s">
        <v>268</v>
      </c>
      <c r="H109" s="5" t="s">
        <v>271</v>
      </c>
      <c r="I109" s="5" t="s">
        <v>275</v>
      </c>
      <c r="J109" s="5">
        <v>80</v>
      </c>
      <c r="K109" s="5" t="s">
        <v>165</v>
      </c>
      <c r="L109" s="5"/>
      <c r="M109" s="5"/>
      <c r="N109" s="5">
        <v>7396</v>
      </c>
      <c r="O109" s="6" t="s">
        <v>15</v>
      </c>
      <c r="P109" s="7">
        <v>45613</v>
      </c>
      <c r="Q109" s="7">
        <v>45624</v>
      </c>
      <c r="R109" s="7">
        <v>45622</v>
      </c>
      <c r="S109" s="5" t="s">
        <v>197</v>
      </c>
      <c r="T109" s="5" t="s">
        <v>196</v>
      </c>
    </row>
    <row r="110" spans="1:20" ht="20.100000000000001" customHeight="1" x14ac:dyDescent="0.25">
      <c r="A110" s="23">
        <v>110</v>
      </c>
      <c r="B110" s="59">
        <v>1762617</v>
      </c>
      <c r="C110" s="59">
        <v>1306879</v>
      </c>
      <c r="D110" s="5" t="s">
        <v>129</v>
      </c>
      <c r="E110" s="5" t="s">
        <v>276</v>
      </c>
      <c r="F110" s="5" t="s">
        <v>7</v>
      </c>
      <c r="G110" s="5" t="s">
        <v>148</v>
      </c>
      <c r="H110" s="5" t="s">
        <v>163</v>
      </c>
      <c r="I110" s="5" t="s">
        <v>152</v>
      </c>
      <c r="J110" s="5">
        <v>90</v>
      </c>
      <c r="K110" s="5" t="s">
        <v>166</v>
      </c>
      <c r="L110" s="5"/>
      <c r="M110" s="5"/>
      <c r="N110" s="5">
        <v>13439</v>
      </c>
      <c r="O110" s="6">
        <v>13575</v>
      </c>
      <c r="P110" s="7">
        <v>45616</v>
      </c>
      <c r="Q110" s="7">
        <v>45631</v>
      </c>
      <c r="R110" s="7">
        <v>45622</v>
      </c>
      <c r="S110" s="5" t="s">
        <v>197</v>
      </c>
      <c r="T110" s="5" t="s">
        <v>196</v>
      </c>
    </row>
    <row r="111" spans="1:20" ht="20.100000000000001" customHeight="1" x14ac:dyDescent="0.3">
      <c r="A111" s="49">
        <v>111</v>
      </c>
      <c r="B111" s="66"/>
      <c r="C111" s="66"/>
      <c r="D111" s="29" t="s">
        <v>40</v>
      </c>
      <c r="E111" s="29" t="s">
        <v>45</v>
      </c>
      <c r="F111" s="29" t="s">
        <v>40</v>
      </c>
      <c r="G111" s="29" t="s">
        <v>148</v>
      </c>
      <c r="H111" s="29" t="s">
        <v>277</v>
      </c>
      <c r="I111" s="29" t="s">
        <v>278</v>
      </c>
      <c r="J111" s="29">
        <v>160</v>
      </c>
      <c r="K111" s="29" t="s">
        <v>166</v>
      </c>
      <c r="L111" s="29"/>
      <c r="M111" s="29"/>
      <c r="N111" s="29">
        <v>5100</v>
      </c>
      <c r="O111" s="43" t="s">
        <v>83</v>
      </c>
      <c r="P111" s="44">
        <v>45610</v>
      </c>
      <c r="Q111" s="44">
        <v>45634</v>
      </c>
      <c r="R111" s="29"/>
      <c r="S111" s="29"/>
      <c r="T111" s="45"/>
    </row>
    <row r="112" spans="1:20" ht="20.100000000000001" customHeight="1" x14ac:dyDescent="0.3">
      <c r="A112" s="23">
        <v>112</v>
      </c>
      <c r="B112" s="62"/>
      <c r="C112" s="62"/>
      <c r="D112" s="5" t="s">
        <v>279</v>
      </c>
      <c r="E112" s="5" t="s">
        <v>48</v>
      </c>
      <c r="F112" s="5" t="s">
        <v>280</v>
      </c>
      <c r="G112" s="5" t="s">
        <v>268</v>
      </c>
      <c r="H112" s="5" t="s">
        <v>151</v>
      </c>
      <c r="I112" s="5" t="s">
        <v>281</v>
      </c>
      <c r="J112" s="5">
        <v>160</v>
      </c>
      <c r="K112" s="5" t="s">
        <v>174</v>
      </c>
      <c r="L112" s="5" t="s">
        <v>165</v>
      </c>
      <c r="M112" s="5"/>
      <c r="N112" s="5" t="s">
        <v>282</v>
      </c>
      <c r="O112" s="6">
        <v>5800</v>
      </c>
      <c r="P112" s="7">
        <v>45618</v>
      </c>
      <c r="Q112" s="7">
        <v>45628</v>
      </c>
      <c r="R112" s="7">
        <v>45623</v>
      </c>
      <c r="S112" s="5" t="s">
        <v>197</v>
      </c>
      <c r="T112" s="5" t="s">
        <v>196</v>
      </c>
    </row>
    <row r="113" spans="1:20" ht="20.100000000000001" customHeight="1" x14ac:dyDescent="0.25">
      <c r="A113" s="23">
        <v>113</v>
      </c>
      <c r="B113" s="59">
        <v>1765451</v>
      </c>
      <c r="C113" s="59">
        <v>1308241</v>
      </c>
      <c r="D113" s="5" t="s">
        <v>283</v>
      </c>
      <c r="E113" s="5" t="s">
        <v>284</v>
      </c>
      <c r="F113" s="5" t="s">
        <v>7</v>
      </c>
      <c r="G113" s="5" t="s">
        <v>148</v>
      </c>
      <c r="H113" s="5" t="s">
        <v>277</v>
      </c>
      <c r="I113" s="5" t="s">
        <v>285</v>
      </c>
      <c r="J113" s="5">
        <v>120</v>
      </c>
      <c r="K113" s="5" t="s">
        <v>170</v>
      </c>
      <c r="L113" s="5"/>
      <c r="M113" s="5"/>
      <c r="N113" s="5">
        <v>10885</v>
      </c>
      <c r="O113" s="6">
        <v>7965</v>
      </c>
      <c r="P113" s="7">
        <v>45620</v>
      </c>
      <c r="Q113" s="7">
        <v>45631</v>
      </c>
      <c r="R113" s="7">
        <v>45636</v>
      </c>
      <c r="S113" s="5" t="s">
        <v>197</v>
      </c>
      <c r="T113" s="5" t="s">
        <v>196</v>
      </c>
    </row>
    <row r="114" spans="1:20" ht="20.100000000000001" customHeight="1" x14ac:dyDescent="0.3">
      <c r="A114" s="23">
        <v>114</v>
      </c>
      <c r="B114" s="62"/>
      <c r="C114" s="62"/>
      <c r="D114" s="5" t="s">
        <v>40</v>
      </c>
      <c r="E114" s="5" t="s">
        <v>45</v>
      </c>
      <c r="F114" s="5" t="s">
        <v>42</v>
      </c>
      <c r="G114" s="5" t="s">
        <v>203</v>
      </c>
      <c r="H114" s="5" t="s">
        <v>286</v>
      </c>
      <c r="I114" s="5" t="s">
        <v>286</v>
      </c>
      <c r="J114" s="5"/>
      <c r="K114" s="5"/>
      <c r="L114" s="5"/>
      <c r="M114" s="5"/>
      <c r="N114" s="5">
        <v>6000</v>
      </c>
      <c r="O114" s="6">
        <v>6000</v>
      </c>
      <c r="P114" s="7">
        <v>45615</v>
      </c>
      <c r="Q114" s="7">
        <v>45631</v>
      </c>
      <c r="R114" s="7">
        <v>45616</v>
      </c>
      <c r="S114" s="5" t="s">
        <v>287</v>
      </c>
      <c r="T114" s="5" t="s">
        <v>196</v>
      </c>
    </row>
    <row r="115" spans="1:20" ht="20.100000000000001" customHeight="1" x14ac:dyDescent="0.25">
      <c r="A115" s="23">
        <v>115</v>
      </c>
      <c r="B115" s="59">
        <v>1782674</v>
      </c>
      <c r="C115" s="62">
        <v>1315860</v>
      </c>
      <c r="D115" s="5" t="s">
        <v>288</v>
      </c>
      <c r="E115" s="5" t="s">
        <v>289</v>
      </c>
      <c r="F115" s="5" t="s">
        <v>7</v>
      </c>
      <c r="G115" s="5" t="s">
        <v>290</v>
      </c>
      <c r="H115" s="5"/>
      <c r="I115" s="5" t="s">
        <v>291</v>
      </c>
      <c r="J115" s="5"/>
      <c r="K115" s="5"/>
      <c r="L115" s="5"/>
      <c r="M115" s="5"/>
      <c r="N115" s="5">
        <v>8449</v>
      </c>
      <c r="O115" s="6" t="s">
        <v>15</v>
      </c>
      <c r="P115" s="7">
        <v>45623</v>
      </c>
      <c r="Q115" s="7">
        <v>45636</v>
      </c>
      <c r="R115" s="7">
        <v>45649</v>
      </c>
      <c r="S115" s="5" t="s">
        <v>27</v>
      </c>
      <c r="T115" s="36" t="s">
        <v>196</v>
      </c>
    </row>
    <row r="116" spans="1:20" ht="20.100000000000001" customHeight="1" x14ac:dyDescent="0.25">
      <c r="A116" s="23">
        <v>116</v>
      </c>
      <c r="B116" s="62">
        <v>1781530</v>
      </c>
      <c r="C116" s="59">
        <v>1315450</v>
      </c>
      <c r="D116" s="5" t="s">
        <v>292</v>
      </c>
      <c r="E116" s="5" t="s">
        <v>58</v>
      </c>
      <c r="F116" s="5" t="s">
        <v>7</v>
      </c>
      <c r="G116" s="5" t="s">
        <v>290</v>
      </c>
      <c r="H116" s="5" t="s">
        <v>293</v>
      </c>
      <c r="I116" s="5" t="s">
        <v>294</v>
      </c>
      <c r="J116" s="5"/>
      <c r="K116" s="5" t="s">
        <v>165</v>
      </c>
      <c r="L116" s="5" t="s">
        <v>295</v>
      </c>
      <c r="M116" s="5"/>
      <c r="N116" s="5">
        <v>10249</v>
      </c>
      <c r="O116" s="6">
        <v>6211</v>
      </c>
      <c r="P116" s="7">
        <v>45623</v>
      </c>
      <c r="Q116" s="7">
        <v>45636</v>
      </c>
      <c r="R116" s="7">
        <v>45645</v>
      </c>
      <c r="S116" s="5" t="s">
        <v>197</v>
      </c>
      <c r="T116" s="5" t="s">
        <v>196</v>
      </c>
    </row>
    <row r="117" spans="1:20" ht="20.100000000000001" customHeight="1" x14ac:dyDescent="0.3">
      <c r="A117" s="35">
        <v>117</v>
      </c>
      <c r="B117" s="64">
        <v>1795447</v>
      </c>
      <c r="C117" s="64">
        <v>1321584</v>
      </c>
      <c r="D117" s="3" t="s">
        <v>296</v>
      </c>
      <c r="E117" s="3" t="s">
        <v>297</v>
      </c>
      <c r="F117" s="3" t="s">
        <v>7</v>
      </c>
      <c r="G117" s="3" t="s">
        <v>148</v>
      </c>
      <c r="H117" s="3" t="s">
        <v>163</v>
      </c>
      <c r="I117" s="3" t="s">
        <v>153</v>
      </c>
      <c r="J117" s="3">
        <v>100</v>
      </c>
      <c r="K117" s="3" t="s">
        <v>166</v>
      </c>
      <c r="L117" s="3"/>
      <c r="M117" s="3"/>
      <c r="N117" s="3">
        <v>14905</v>
      </c>
      <c r="O117" s="12" t="s">
        <v>15</v>
      </c>
      <c r="P117" s="4">
        <v>45625</v>
      </c>
      <c r="Q117" s="4">
        <v>45641</v>
      </c>
      <c r="R117" s="3"/>
      <c r="S117" s="3" t="s">
        <v>317</v>
      </c>
      <c r="T117" s="46" t="s">
        <v>234</v>
      </c>
    </row>
    <row r="118" spans="1:20" ht="20.100000000000001" customHeight="1" x14ac:dyDescent="0.25">
      <c r="A118" s="35">
        <v>118</v>
      </c>
      <c r="B118" s="58">
        <v>1808440</v>
      </c>
      <c r="C118" s="58">
        <v>1327172</v>
      </c>
      <c r="D118" s="3" t="s">
        <v>298</v>
      </c>
      <c r="E118" s="3" t="s">
        <v>66</v>
      </c>
      <c r="F118" s="3" t="s">
        <v>7</v>
      </c>
      <c r="G118" s="3" t="s">
        <v>299</v>
      </c>
      <c r="H118" s="3" t="s">
        <v>293</v>
      </c>
      <c r="I118" s="3" t="s">
        <v>294</v>
      </c>
      <c r="J118" s="3"/>
      <c r="K118" s="3" t="s">
        <v>205</v>
      </c>
      <c r="L118" s="3" t="s">
        <v>300</v>
      </c>
      <c r="M118" s="3"/>
      <c r="N118" s="3">
        <v>10249</v>
      </c>
      <c r="O118" s="12" t="s">
        <v>15</v>
      </c>
      <c r="P118" s="4">
        <v>45626</v>
      </c>
      <c r="Q118" s="4">
        <v>45638</v>
      </c>
      <c r="R118" s="3"/>
      <c r="S118" s="3"/>
      <c r="T118" s="46" t="s">
        <v>234</v>
      </c>
    </row>
    <row r="119" spans="1:20" ht="20.100000000000001" customHeight="1" x14ac:dyDescent="0.25">
      <c r="A119" s="35">
        <v>119</v>
      </c>
      <c r="B119" s="64">
        <v>1808441</v>
      </c>
      <c r="C119" s="58">
        <v>1327172</v>
      </c>
      <c r="D119" s="3" t="s">
        <v>301</v>
      </c>
      <c r="E119" s="3" t="s">
        <v>66</v>
      </c>
      <c r="F119" s="3" t="s">
        <v>302</v>
      </c>
      <c r="G119" s="3" t="s">
        <v>299</v>
      </c>
      <c r="H119" s="3" t="s">
        <v>187</v>
      </c>
      <c r="I119" s="3"/>
      <c r="J119" s="3"/>
      <c r="K119" s="3" t="s">
        <v>166</v>
      </c>
      <c r="L119" s="3" t="s">
        <v>303</v>
      </c>
      <c r="M119" s="3"/>
      <c r="N119" s="3">
        <v>9029</v>
      </c>
      <c r="O119" s="12" t="s">
        <v>15</v>
      </c>
      <c r="P119" s="4">
        <v>45626</v>
      </c>
      <c r="Q119" s="4">
        <v>45638</v>
      </c>
      <c r="R119" s="3"/>
      <c r="S119" s="3"/>
      <c r="T119" s="46" t="s">
        <v>234</v>
      </c>
    </row>
    <row r="120" spans="1:20" ht="20.100000000000001" customHeight="1" x14ac:dyDescent="0.25">
      <c r="A120" s="49">
        <v>120</v>
      </c>
      <c r="B120" s="60">
        <v>1805052</v>
      </c>
      <c r="C120" s="60">
        <v>1325637</v>
      </c>
      <c r="D120" s="29" t="s">
        <v>304</v>
      </c>
      <c r="E120" s="29" t="s">
        <v>142</v>
      </c>
      <c r="F120" s="29" t="s">
        <v>302</v>
      </c>
      <c r="G120" s="29" t="s">
        <v>290</v>
      </c>
      <c r="H120" s="29" t="s">
        <v>305</v>
      </c>
      <c r="I120" s="29"/>
      <c r="J120" s="29"/>
      <c r="K120" s="29" t="s">
        <v>205</v>
      </c>
      <c r="L120" s="29" t="s">
        <v>306</v>
      </c>
      <c r="M120" s="29"/>
      <c r="N120" s="29">
        <v>9029</v>
      </c>
      <c r="O120" s="43" t="s">
        <v>15</v>
      </c>
      <c r="P120" s="44">
        <v>45626</v>
      </c>
      <c r="Q120" s="44">
        <v>45638</v>
      </c>
      <c r="R120" s="29"/>
      <c r="S120" s="29"/>
      <c r="T120" s="45"/>
    </row>
    <row r="121" spans="1:20" ht="20.100000000000001" customHeight="1" x14ac:dyDescent="0.25">
      <c r="A121" s="35">
        <v>121</v>
      </c>
      <c r="B121" s="58">
        <v>1813823</v>
      </c>
      <c r="C121" s="58">
        <v>1329646</v>
      </c>
      <c r="D121" s="3" t="s">
        <v>307</v>
      </c>
      <c r="E121" s="3" t="s">
        <v>308</v>
      </c>
      <c r="F121" s="3" t="s">
        <v>7</v>
      </c>
      <c r="G121" s="3" t="s">
        <v>148</v>
      </c>
      <c r="H121" s="3" t="s">
        <v>271</v>
      </c>
      <c r="I121" s="3" t="s">
        <v>150</v>
      </c>
      <c r="J121" s="47">
        <v>80</v>
      </c>
      <c r="K121" s="3" t="s">
        <v>165</v>
      </c>
      <c r="L121" s="3"/>
      <c r="M121" s="3"/>
      <c r="N121" s="3">
        <v>12099</v>
      </c>
      <c r="O121" s="12" t="s">
        <v>15</v>
      </c>
      <c r="P121" s="4">
        <v>45628</v>
      </c>
      <c r="Q121" s="4">
        <v>45643</v>
      </c>
      <c r="R121" s="3"/>
      <c r="S121" s="3"/>
      <c r="T121" s="46" t="s">
        <v>234</v>
      </c>
    </row>
    <row r="122" spans="1:20" ht="20.100000000000001" customHeight="1" x14ac:dyDescent="0.3">
      <c r="A122" s="23">
        <v>122</v>
      </c>
      <c r="B122" s="62" t="s">
        <v>309</v>
      </c>
      <c r="C122" s="62"/>
      <c r="D122" s="5" t="s">
        <v>81</v>
      </c>
      <c r="E122" s="5" t="s">
        <v>198</v>
      </c>
      <c r="F122" s="5" t="s">
        <v>55</v>
      </c>
      <c r="G122" s="5" t="s">
        <v>148</v>
      </c>
      <c r="H122" s="5" t="s">
        <v>271</v>
      </c>
      <c r="I122" s="5" t="s">
        <v>275</v>
      </c>
      <c r="J122" s="40">
        <v>90</v>
      </c>
      <c r="K122" s="5" t="s">
        <v>168</v>
      </c>
      <c r="L122" s="5"/>
      <c r="M122" s="5"/>
      <c r="N122" s="5">
        <v>5217</v>
      </c>
      <c r="O122" s="6" t="s">
        <v>83</v>
      </c>
      <c r="P122" s="7">
        <v>45627</v>
      </c>
      <c r="Q122" s="7">
        <v>45640</v>
      </c>
      <c r="R122" s="7">
        <v>45636</v>
      </c>
      <c r="S122" s="5" t="s">
        <v>197</v>
      </c>
      <c r="T122" s="5" t="s">
        <v>196</v>
      </c>
    </row>
    <row r="123" spans="1:20" ht="20.100000000000001" customHeight="1" x14ac:dyDescent="0.25">
      <c r="A123" s="23">
        <v>123</v>
      </c>
      <c r="B123" s="59">
        <v>1810950</v>
      </c>
      <c r="C123" s="59">
        <v>1328141</v>
      </c>
      <c r="D123" s="5" t="s">
        <v>310</v>
      </c>
      <c r="E123" s="5" t="s">
        <v>133</v>
      </c>
      <c r="F123" s="5" t="s">
        <v>7</v>
      </c>
      <c r="G123" s="5" t="s">
        <v>268</v>
      </c>
      <c r="H123" s="5" t="s">
        <v>149</v>
      </c>
      <c r="I123" s="5"/>
      <c r="J123" s="5"/>
      <c r="K123" s="5" t="s">
        <v>166</v>
      </c>
      <c r="L123" s="5" t="s">
        <v>166</v>
      </c>
      <c r="M123" s="5"/>
      <c r="N123" s="5">
        <v>10249</v>
      </c>
      <c r="O123" s="6">
        <v>6211</v>
      </c>
      <c r="P123" s="7">
        <v>45630</v>
      </c>
      <c r="Q123" s="7">
        <v>45640</v>
      </c>
      <c r="R123" s="7">
        <v>45645</v>
      </c>
      <c r="S123" s="5" t="s">
        <v>197</v>
      </c>
      <c r="T123" s="5" t="s">
        <v>196</v>
      </c>
    </row>
    <row r="124" spans="1:20" ht="20.100000000000001" customHeight="1" x14ac:dyDescent="0.25">
      <c r="A124" s="23">
        <v>124</v>
      </c>
      <c r="B124" s="59">
        <v>240085463</v>
      </c>
      <c r="C124" s="62"/>
      <c r="D124" s="5" t="s">
        <v>311</v>
      </c>
      <c r="E124" s="5" t="s">
        <v>312</v>
      </c>
      <c r="F124" s="5" t="s">
        <v>51</v>
      </c>
      <c r="G124" s="5" t="s">
        <v>148</v>
      </c>
      <c r="H124" s="5" t="s">
        <v>163</v>
      </c>
      <c r="I124" s="5" t="s">
        <v>152</v>
      </c>
      <c r="J124" s="5"/>
      <c r="K124" s="5" t="s">
        <v>166</v>
      </c>
      <c r="L124" s="5"/>
      <c r="M124" s="5"/>
      <c r="N124" s="5">
        <v>10445</v>
      </c>
      <c r="O124" s="6">
        <v>7707</v>
      </c>
      <c r="P124" s="7">
        <v>45635</v>
      </c>
      <c r="Q124" s="7">
        <v>45657</v>
      </c>
      <c r="R124" s="7">
        <v>45638</v>
      </c>
      <c r="S124" s="5" t="s">
        <v>197</v>
      </c>
      <c r="T124" s="5" t="s">
        <v>196</v>
      </c>
    </row>
    <row r="125" spans="1:20" ht="20.100000000000001" customHeight="1" x14ac:dyDescent="0.25">
      <c r="A125" s="23">
        <v>125</v>
      </c>
      <c r="B125" s="59">
        <v>1818591</v>
      </c>
      <c r="C125" s="59">
        <v>1332300</v>
      </c>
      <c r="D125" s="5" t="s">
        <v>313</v>
      </c>
      <c r="E125" s="5" t="s">
        <v>66</v>
      </c>
      <c r="F125" s="5" t="s">
        <v>7</v>
      </c>
      <c r="G125" s="5" t="s">
        <v>290</v>
      </c>
      <c r="H125" s="5" t="s">
        <v>314</v>
      </c>
      <c r="I125" s="5" t="s">
        <v>294</v>
      </c>
      <c r="J125" s="5"/>
      <c r="K125" s="5" t="s">
        <v>205</v>
      </c>
      <c r="L125" s="5" t="s">
        <v>300</v>
      </c>
      <c r="M125" s="5"/>
      <c r="N125" s="5">
        <v>11199</v>
      </c>
      <c r="O125" s="6">
        <v>11257</v>
      </c>
      <c r="P125" s="7">
        <v>45638</v>
      </c>
      <c r="Q125" s="7">
        <v>45650</v>
      </c>
      <c r="R125" s="7">
        <v>45645</v>
      </c>
      <c r="S125" s="5" t="s">
        <v>197</v>
      </c>
      <c r="T125" s="5" t="s">
        <v>196</v>
      </c>
    </row>
    <row r="126" spans="1:20" ht="20.100000000000001" customHeight="1" x14ac:dyDescent="0.3">
      <c r="A126" s="23">
        <v>126</v>
      </c>
      <c r="B126" s="62">
        <v>1818396</v>
      </c>
      <c r="C126" s="62">
        <v>1332179</v>
      </c>
      <c r="D126" s="5" t="s">
        <v>315</v>
      </c>
      <c r="E126" s="5" t="s">
        <v>276</v>
      </c>
      <c r="F126" s="5" t="s">
        <v>7</v>
      </c>
      <c r="G126" s="5" t="s">
        <v>268</v>
      </c>
      <c r="H126" s="5" t="s">
        <v>163</v>
      </c>
      <c r="I126" s="5" t="s">
        <v>150</v>
      </c>
      <c r="J126" s="5">
        <v>80</v>
      </c>
      <c r="K126" s="5" t="s">
        <v>166</v>
      </c>
      <c r="L126" s="5"/>
      <c r="M126" s="5"/>
      <c r="N126" s="5">
        <v>13099</v>
      </c>
      <c r="O126" s="6">
        <v>13231</v>
      </c>
      <c r="P126" s="7">
        <v>45638</v>
      </c>
      <c r="Q126" s="7">
        <v>45654</v>
      </c>
      <c r="R126" s="7">
        <v>45655</v>
      </c>
      <c r="S126" s="5" t="s">
        <v>197</v>
      </c>
      <c r="T126" s="5" t="s">
        <v>196</v>
      </c>
    </row>
    <row r="127" spans="1:20" ht="20.100000000000001" customHeight="1" x14ac:dyDescent="0.25">
      <c r="A127" s="23">
        <v>127</v>
      </c>
      <c r="B127" s="59">
        <v>240085758</v>
      </c>
      <c r="C127" s="62"/>
      <c r="D127" s="5" t="s">
        <v>51</v>
      </c>
      <c r="E127" s="5" t="s">
        <v>222</v>
      </c>
      <c r="F127" s="5" t="s">
        <v>51</v>
      </c>
      <c r="G127" s="5" t="s">
        <v>203</v>
      </c>
      <c r="H127" s="5" t="s">
        <v>204</v>
      </c>
      <c r="I127" s="5" t="s">
        <v>256</v>
      </c>
      <c r="J127" s="5"/>
      <c r="K127" s="5" t="s">
        <v>205</v>
      </c>
      <c r="L127" s="5" t="s">
        <v>316</v>
      </c>
      <c r="M127" s="5"/>
      <c r="N127" s="5">
        <v>8700</v>
      </c>
      <c r="O127" s="6" t="s">
        <v>83</v>
      </c>
      <c r="P127" s="7">
        <v>45640</v>
      </c>
      <c r="Q127" s="7">
        <v>45662</v>
      </c>
      <c r="R127" s="7">
        <v>45655</v>
      </c>
      <c r="S127" s="5" t="s">
        <v>197</v>
      </c>
      <c r="T127" s="5" t="s">
        <v>196</v>
      </c>
    </row>
    <row r="128" spans="1:20" ht="20.100000000000001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5"/>
      <c r="P128" s="2"/>
      <c r="Q128" s="2"/>
      <c r="R128" s="2"/>
      <c r="S128" s="2"/>
      <c r="T128" s="26"/>
    </row>
    <row r="129" spans="1:20" ht="20.100000000000001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5"/>
      <c r="P129" s="2"/>
      <c r="Q129" s="2"/>
      <c r="R129" s="2"/>
      <c r="S129" s="2"/>
      <c r="T129" s="26"/>
    </row>
    <row r="130" spans="1:20" ht="20.100000000000001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5"/>
      <c r="P130" s="2"/>
      <c r="Q130" s="2"/>
      <c r="R130" s="2"/>
      <c r="S130" s="2"/>
      <c r="T130" s="26"/>
    </row>
    <row r="131" spans="1:20" ht="20.100000000000001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5"/>
      <c r="P131" s="2"/>
      <c r="Q131" s="2"/>
      <c r="R131" s="2"/>
      <c r="S131" s="2"/>
      <c r="T131" s="26"/>
    </row>
    <row r="132" spans="1:20" ht="20.100000000000001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5"/>
      <c r="P132" s="2"/>
      <c r="Q132" s="2"/>
      <c r="R132" s="2"/>
      <c r="S132" s="2"/>
      <c r="T132" s="26"/>
    </row>
    <row r="133" spans="1:20" ht="20.100000000000001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5"/>
      <c r="P133" s="2"/>
      <c r="Q133" s="2"/>
      <c r="R133" s="2"/>
      <c r="S133" s="2"/>
      <c r="T133" s="26"/>
    </row>
    <row r="134" spans="1:20" ht="20.100000000000001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5"/>
      <c r="P134" s="2"/>
      <c r="Q134" s="2"/>
      <c r="R134" s="2"/>
      <c r="S134" s="2"/>
      <c r="T134" s="26"/>
    </row>
    <row r="135" spans="1:20" ht="20.100000000000001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5"/>
      <c r="P135" s="2"/>
      <c r="Q135" s="2"/>
      <c r="R135" s="2"/>
      <c r="S135" s="2"/>
      <c r="T135" s="26"/>
    </row>
    <row r="136" spans="1:20" ht="20.100000000000001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5"/>
      <c r="P136" s="2"/>
      <c r="Q136" s="2"/>
      <c r="R136" s="2"/>
      <c r="S136" s="2"/>
      <c r="T136" s="26"/>
    </row>
    <row r="137" spans="1:20" ht="20.100000000000001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5"/>
      <c r="P137" s="2"/>
      <c r="Q137" s="2"/>
      <c r="R137" s="2"/>
      <c r="S137" s="2"/>
      <c r="T137" s="26"/>
    </row>
    <row r="138" spans="1:20" ht="20.100000000000001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5"/>
      <c r="P138" s="2"/>
      <c r="Q138" s="2"/>
      <c r="R138" s="2"/>
      <c r="S138" s="2"/>
      <c r="T138" s="26"/>
    </row>
    <row r="139" spans="1:20" ht="20.100000000000001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5"/>
      <c r="P139" s="2"/>
      <c r="Q139" s="2"/>
      <c r="R139" s="2"/>
      <c r="S139" s="2"/>
      <c r="T139" s="26"/>
    </row>
    <row r="140" spans="1:20" ht="20.100000000000001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5"/>
      <c r="P140" s="2"/>
      <c r="Q140" s="2"/>
      <c r="R140" s="2"/>
      <c r="S140" s="2"/>
      <c r="T140" s="26"/>
    </row>
    <row r="141" spans="1:20" ht="20.100000000000001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5"/>
      <c r="P141" s="2"/>
      <c r="Q141" s="2"/>
      <c r="R141" s="2"/>
      <c r="S141" s="2"/>
      <c r="T141" s="26"/>
    </row>
    <row r="142" spans="1:20" ht="20.100000000000001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5"/>
      <c r="P142" s="2"/>
      <c r="Q142" s="2"/>
      <c r="R142" s="2"/>
      <c r="S142" s="2"/>
      <c r="T142" s="26"/>
    </row>
    <row r="143" spans="1:20" ht="20.100000000000001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5"/>
      <c r="P143" s="2"/>
      <c r="Q143" s="2"/>
      <c r="R143" s="2"/>
      <c r="S143" s="2"/>
      <c r="T143" s="26"/>
    </row>
    <row r="144" spans="1:20" ht="20.100000000000001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5"/>
      <c r="P144" s="2"/>
      <c r="Q144" s="2"/>
      <c r="R144" s="2"/>
      <c r="S144" s="2"/>
      <c r="T144" s="26"/>
    </row>
    <row r="145" spans="1:20" ht="20.100000000000001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5"/>
      <c r="P145" s="2"/>
      <c r="Q145" s="2"/>
      <c r="R145" s="2"/>
      <c r="S145" s="2"/>
      <c r="T145" s="26"/>
    </row>
    <row r="146" spans="1:20" ht="20.100000000000001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5"/>
      <c r="P146" s="2"/>
      <c r="Q146" s="2"/>
      <c r="R146" s="2"/>
      <c r="S146" s="2"/>
      <c r="T146" s="26"/>
    </row>
    <row r="147" spans="1:20" ht="20.100000000000001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5"/>
      <c r="P147" s="2"/>
      <c r="Q147" s="2"/>
      <c r="R147" s="2"/>
      <c r="S147" s="2"/>
      <c r="T147" s="26"/>
    </row>
    <row r="148" spans="1:20" ht="20.100000000000001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5"/>
      <c r="P148" s="2"/>
      <c r="Q148" s="2"/>
      <c r="R148" s="2"/>
      <c r="S148" s="2"/>
      <c r="T148" s="26"/>
    </row>
    <row r="149" spans="1:20" ht="20.100000000000001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5"/>
      <c r="P149" s="2"/>
      <c r="Q149" s="2"/>
      <c r="R149" s="2"/>
      <c r="S149" s="2"/>
      <c r="T149" s="26"/>
    </row>
    <row r="150" spans="1:20" ht="20.100000000000001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5"/>
      <c r="P150" s="2"/>
      <c r="Q150" s="2"/>
      <c r="R150" s="2"/>
      <c r="S150" s="2"/>
      <c r="T150" s="26"/>
    </row>
    <row r="151" spans="1:20" ht="20.100000000000001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5"/>
      <c r="P151" s="2"/>
      <c r="Q151" s="2"/>
      <c r="R151" s="2"/>
      <c r="S151" s="2"/>
      <c r="T151" s="26"/>
    </row>
    <row r="152" spans="1:20" ht="20.100000000000001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5"/>
      <c r="P152" s="2"/>
      <c r="Q152" s="2"/>
      <c r="R152" s="2"/>
      <c r="S152" s="2"/>
      <c r="T152" s="26"/>
    </row>
    <row r="153" spans="1:20" ht="20.100000000000001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5"/>
      <c r="P153" s="2"/>
      <c r="Q153" s="2"/>
      <c r="R153" s="2"/>
      <c r="S153" s="2"/>
      <c r="T153" s="26"/>
    </row>
    <row r="154" spans="1:20" ht="20.100000000000001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5"/>
      <c r="P154" s="2"/>
      <c r="Q154" s="2"/>
      <c r="R154" s="2"/>
      <c r="S154" s="2"/>
      <c r="T154" s="26"/>
    </row>
    <row r="155" spans="1:20" ht="20.100000000000001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5"/>
      <c r="P155" s="2"/>
      <c r="Q155" s="2"/>
      <c r="R155" s="2"/>
      <c r="S155" s="2"/>
      <c r="T155" s="26"/>
    </row>
    <row r="156" spans="1:20" ht="20.100000000000001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5"/>
      <c r="P156" s="2"/>
      <c r="Q156" s="2"/>
      <c r="R156" s="2"/>
      <c r="S156" s="2"/>
      <c r="T156" s="26"/>
    </row>
    <row r="157" spans="1:20" ht="20.100000000000001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5"/>
      <c r="P157" s="2"/>
      <c r="Q157" s="2"/>
      <c r="R157" s="2"/>
      <c r="S157" s="2"/>
      <c r="T157" s="26"/>
    </row>
    <row r="158" spans="1:20" ht="20.100000000000001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5"/>
      <c r="P158" s="2"/>
      <c r="Q158" s="2"/>
      <c r="R158" s="2"/>
      <c r="S158" s="2"/>
      <c r="T158" s="26"/>
    </row>
    <row r="159" spans="1:20" ht="20.100000000000001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5"/>
      <c r="P159" s="2"/>
      <c r="Q159" s="2"/>
      <c r="R159" s="2"/>
      <c r="S159" s="2"/>
      <c r="T159" s="26"/>
    </row>
    <row r="160" spans="1:20" ht="20.100000000000001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5"/>
      <c r="P160" s="2"/>
      <c r="Q160" s="2"/>
      <c r="R160" s="2"/>
      <c r="S160" s="2"/>
      <c r="T160" s="26"/>
    </row>
    <row r="161" spans="1:20" ht="20.100000000000001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5"/>
      <c r="P161" s="2"/>
      <c r="Q161" s="2"/>
      <c r="R161" s="2"/>
      <c r="S161" s="2"/>
      <c r="T161" s="26"/>
    </row>
    <row r="162" spans="1:20" ht="20.100000000000001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5"/>
      <c r="P162" s="2"/>
      <c r="Q162" s="2"/>
      <c r="R162" s="2"/>
      <c r="S162" s="2"/>
      <c r="T162" s="26"/>
    </row>
    <row r="163" spans="1:20" ht="20.100000000000001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5"/>
      <c r="P163" s="2"/>
      <c r="Q163" s="2"/>
      <c r="R163" s="2"/>
      <c r="S163" s="2"/>
      <c r="T163" s="26"/>
    </row>
    <row r="164" spans="1:20" ht="20.100000000000001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5"/>
      <c r="P164" s="2"/>
      <c r="Q164" s="2"/>
      <c r="R164" s="2"/>
      <c r="S164" s="2"/>
      <c r="T164" s="26"/>
    </row>
    <row r="165" spans="1:20" ht="20.100000000000001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5"/>
      <c r="P165" s="2"/>
      <c r="Q165" s="2"/>
      <c r="R165" s="2"/>
      <c r="S165" s="2"/>
      <c r="T165" s="26"/>
    </row>
    <row r="166" spans="1:20" ht="20.100000000000001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5"/>
      <c r="P166" s="2"/>
      <c r="Q166" s="2"/>
      <c r="R166" s="2"/>
      <c r="S166" s="2"/>
      <c r="T166" s="26"/>
    </row>
    <row r="167" spans="1:20" ht="20.100000000000001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5"/>
      <c r="P167" s="2"/>
      <c r="Q167" s="2"/>
      <c r="R167" s="2"/>
      <c r="S167" s="2"/>
      <c r="T167" s="26"/>
    </row>
    <row r="168" spans="1:20" ht="20.100000000000001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5"/>
      <c r="P168" s="2"/>
      <c r="Q168" s="2"/>
      <c r="R168" s="2"/>
      <c r="S168" s="2"/>
      <c r="T168" s="26"/>
    </row>
    <row r="169" spans="1:20" ht="20.100000000000001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5"/>
      <c r="P169" s="2"/>
      <c r="Q169" s="2"/>
      <c r="R169" s="2"/>
      <c r="S169" s="2"/>
      <c r="T169" s="26"/>
    </row>
    <row r="170" spans="1:20" ht="20.100000000000001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5"/>
      <c r="P170" s="2"/>
      <c r="Q170" s="2"/>
      <c r="R170" s="2"/>
      <c r="S170" s="2"/>
      <c r="T170" s="26"/>
    </row>
    <row r="171" spans="1:20" ht="20.100000000000001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5"/>
      <c r="P171" s="2"/>
      <c r="Q171" s="2"/>
      <c r="R171" s="2"/>
      <c r="S171" s="2"/>
      <c r="T171" s="26"/>
    </row>
    <row r="172" spans="1:20" ht="20.100000000000001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5"/>
      <c r="P172" s="2"/>
      <c r="Q172" s="2"/>
      <c r="R172" s="2"/>
      <c r="S172" s="2"/>
      <c r="T172" s="26"/>
    </row>
    <row r="173" spans="1:20" ht="20.100000000000001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5"/>
      <c r="P173" s="2"/>
      <c r="Q173" s="2"/>
      <c r="R173" s="2"/>
      <c r="S173" s="2"/>
      <c r="T173" s="26"/>
    </row>
    <row r="174" spans="1:20" ht="20.100000000000001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5"/>
      <c r="P174" s="2"/>
      <c r="Q174" s="2"/>
      <c r="R174" s="2"/>
      <c r="S174" s="2"/>
      <c r="T174" s="26"/>
    </row>
    <row r="175" spans="1:20" ht="20.100000000000001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5"/>
      <c r="P175" s="2"/>
      <c r="Q175" s="2"/>
      <c r="R175" s="2"/>
      <c r="S175" s="2"/>
      <c r="T175" s="26"/>
    </row>
    <row r="176" spans="1:20" ht="20.100000000000001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5"/>
      <c r="P176" s="2"/>
      <c r="Q176" s="2"/>
      <c r="R176" s="2"/>
      <c r="S176" s="2"/>
      <c r="T176" s="26"/>
    </row>
    <row r="177" spans="1:20" ht="20.100000000000001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5"/>
      <c r="P177" s="2"/>
      <c r="Q177" s="2"/>
      <c r="R177" s="2"/>
      <c r="S177" s="2"/>
      <c r="T177" s="26"/>
    </row>
    <row r="178" spans="1:20" ht="20.100000000000001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5"/>
      <c r="P178" s="2"/>
      <c r="Q178" s="2"/>
      <c r="R178" s="2"/>
      <c r="S178" s="2"/>
      <c r="T178" s="26"/>
    </row>
    <row r="179" spans="1:20" ht="20.100000000000001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5"/>
      <c r="P179" s="2"/>
      <c r="Q179" s="2"/>
      <c r="R179" s="2"/>
      <c r="S179" s="2"/>
      <c r="T179" s="26"/>
    </row>
    <row r="180" spans="1:20" ht="20.100000000000001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5"/>
      <c r="P180" s="2"/>
      <c r="Q180" s="2"/>
      <c r="R180" s="2"/>
      <c r="S180" s="2"/>
      <c r="T180" s="26"/>
    </row>
    <row r="181" spans="1:20" ht="20.100000000000001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5"/>
      <c r="P181" s="2"/>
      <c r="Q181" s="2"/>
      <c r="R181" s="2"/>
      <c r="S181" s="2"/>
      <c r="T181" s="26"/>
    </row>
    <row r="182" spans="1:20" ht="20.100000000000001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5"/>
      <c r="P182" s="2"/>
      <c r="Q182" s="2"/>
      <c r="R182" s="2"/>
      <c r="S182" s="2"/>
      <c r="T182" s="26"/>
    </row>
    <row r="183" spans="1:20" ht="20.100000000000001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5"/>
      <c r="P183" s="2"/>
      <c r="Q183" s="2"/>
      <c r="R183" s="2"/>
      <c r="S183" s="2"/>
      <c r="T183" s="26"/>
    </row>
    <row r="184" spans="1:20" ht="20.100000000000001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5"/>
      <c r="P184" s="2"/>
      <c r="Q184" s="2"/>
      <c r="R184" s="2"/>
      <c r="S184" s="2"/>
      <c r="T184" s="26"/>
    </row>
    <row r="185" spans="1:20" ht="20.100000000000001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5"/>
      <c r="P185" s="2"/>
      <c r="Q185" s="2"/>
      <c r="R185" s="2"/>
      <c r="S185" s="2"/>
      <c r="T185" s="26"/>
    </row>
    <row r="186" spans="1:20" ht="20.100000000000001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5"/>
      <c r="P186" s="2"/>
      <c r="Q186" s="2"/>
      <c r="R186" s="2"/>
      <c r="S186" s="2"/>
      <c r="T186" s="26"/>
    </row>
    <row r="187" spans="1:20" ht="20.100000000000001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5"/>
      <c r="P187" s="2"/>
      <c r="Q187" s="2"/>
      <c r="R187" s="2"/>
      <c r="S187" s="2"/>
      <c r="T187" s="26"/>
    </row>
    <row r="188" spans="1:20" ht="20.100000000000001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5"/>
      <c r="P188" s="2"/>
      <c r="Q188" s="2"/>
      <c r="R188" s="2"/>
      <c r="S188" s="2"/>
      <c r="T188" s="26"/>
    </row>
    <row r="189" spans="1:20" ht="20.100000000000001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5"/>
      <c r="P189" s="2"/>
      <c r="Q189" s="2"/>
      <c r="R189" s="2"/>
      <c r="S189" s="2"/>
      <c r="T189" s="26"/>
    </row>
    <row r="190" spans="1:20" ht="20.100000000000001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5"/>
      <c r="P190" s="2"/>
      <c r="Q190" s="2"/>
      <c r="R190" s="2"/>
      <c r="S190" s="2"/>
      <c r="T190" s="26"/>
    </row>
    <row r="191" spans="1:20" ht="20.100000000000001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5"/>
      <c r="P191" s="2"/>
      <c r="Q191" s="2"/>
      <c r="R191" s="2"/>
      <c r="S191" s="2"/>
      <c r="T191" s="26"/>
    </row>
    <row r="192" spans="1:20" ht="20.100000000000001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5"/>
      <c r="P192" s="2"/>
      <c r="Q192" s="2"/>
      <c r="R192" s="2"/>
      <c r="S192" s="2"/>
      <c r="T192" s="26"/>
    </row>
    <row r="193" spans="1:20" ht="20.100000000000001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5"/>
      <c r="P193" s="2"/>
      <c r="Q193" s="2"/>
      <c r="R193" s="2"/>
      <c r="S193" s="2"/>
      <c r="T193" s="26"/>
    </row>
    <row r="194" spans="1:20" ht="20.100000000000001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5"/>
      <c r="P194" s="2"/>
      <c r="Q194" s="2"/>
      <c r="R194" s="2"/>
      <c r="S194" s="2"/>
      <c r="T194" s="26"/>
    </row>
    <row r="195" spans="1:20" ht="20.100000000000001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5"/>
      <c r="P195" s="2"/>
      <c r="Q195" s="2"/>
      <c r="R195" s="2"/>
      <c r="S195" s="2"/>
      <c r="T195" s="26"/>
    </row>
    <row r="196" spans="1:20" ht="20.100000000000001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5"/>
      <c r="P196" s="2"/>
      <c r="Q196" s="2"/>
      <c r="R196" s="2"/>
      <c r="S196" s="2"/>
      <c r="T196" s="26"/>
    </row>
    <row r="197" spans="1:20" ht="20.100000000000001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5"/>
      <c r="P197" s="2"/>
      <c r="Q197" s="2"/>
      <c r="R197" s="2"/>
      <c r="S197" s="2"/>
      <c r="T197" s="26"/>
    </row>
    <row r="198" spans="1:20" ht="20.100000000000001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5"/>
      <c r="P198" s="2"/>
      <c r="Q198" s="2"/>
      <c r="R198" s="2"/>
      <c r="S198" s="2"/>
      <c r="T198" s="26"/>
    </row>
    <row r="199" spans="1:20" ht="20.100000000000001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5"/>
      <c r="P199" s="2"/>
      <c r="Q199" s="2"/>
      <c r="R199" s="2"/>
      <c r="S199" s="2"/>
      <c r="T199" s="26"/>
    </row>
    <row r="200" spans="1:20" ht="20.100000000000001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5"/>
      <c r="P200" s="2"/>
      <c r="Q200" s="2"/>
      <c r="R200" s="2"/>
      <c r="S200" s="2"/>
      <c r="T200" s="26"/>
    </row>
    <row r="201" spans="1:20" ht="20.100000000000001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5"/>
      <c r="P201" s="2"/>
      <c r="Q201" s="2"/>
      <c r="R201" s="2"/>
      <c r="S201" s="2"/>
      <c r="T201" s="26"/>
    </row>
    <row r="202" spans="1:20" ht="20.100000000000001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5"/>
      <c r="P202" s="2"/>
      <c r="Q202" s="2"/>
      <c r="R202" s="2"/>
      <c r="S202" s="2"/>
      <c r="T202" s="26"/>
    </row>
    <row r="203" spans="1:20" ht="20.100000000000001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5"/>
      <c r="P203" s="2"/>
      <c r="Q203" s="2"/>
      <c r="R203" s="2"/>
      <c r="S203" s="2"/>
      <c r="T203" s="26"/>
    </row>
    <row r="204" spans="1:20" ht="20.100000000000001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5"/>
      <c r="P204" s="2"/>
      <c r="Q204" s="2"/>
      <c r="R204" s="2"/>
      <c r="S204" s="2"/>
      <c r="T204" s="26"/>
    </row>
    <row r="205" spans="1:20" ht="20.100000000000001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5"/>
      <c r="P205" s="2"/>
      <c r="Q205" s="2"/>
      <c r="R205" s="2"/>
      <c r="S205" s="2"/>
      <c r="T205" s="26"/>
    </row>
    <row r="206" spans="1:20" ht="20.100000000000001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5"/>
      <c r="P206" s="2"/>
      <c r="Q206" s="2"/>
      <c r="R206" s="2"/>
      <c r="S206" s="2"/>
      <c r="T206" s="26"/>
    </row>
    <row r="207" spans="1:20" ht="20.100000000000001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5"/>
      <c r="P207" s="2"/>
      <c r="Q207" s="2"/>
      <c r="R207" s="2"/>
      <c r="S207" s="2"/>
      <c r="T207" s="26"/>
    </row>
    <row r="208" spans="1:20" ht="20.100000000000001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5"/>
      <c r="P208" s="2"/>
      <c r="Q208" s="2"/>
      <c r="R208" s="2"/>
      <c r="S208" s="2"/>
      <c r="T208" s="26"/>
    </row>
    <row r="209" spans="1:20" ht="20.100000000000001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5"/>
      <c r="P209" s="2"/>
      <c r="Q209" s="2"/>
      <c r="R209" s="2"/>
      <c r="S209" s="2"/>
      <c r="T209" s="26"/>
    </row>
    <row r="210" spans="1:20" ht="20.100000000000001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5"/>
      <c r="P210" s="2"/>
      <c r="Q210" s="2"/>
      <c r="R210" s="2"/>
      <c r="S210" s="2"/>
      <c r="T210" s="26"/>
    </row>
    <row r="211" spans="1:20" ht="20.100000000000001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5"/>
      <c r="P211" s="2"/>
      <c r="Q211" s="2"/>
      <c r="R211" s="2"/>
      <c r="S211" s="2"/>
      <c r="T211" s="26"/>
    </row>
    <row r="212" spans="1:20" ht="20.100000000000001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5"/>
      <c r="P212" s="2"/>
      <c r="Q212" s="2"/>
      <c r="R212" s="2"/>
      <c r="S212" s="2"/>
      <c r="T212" s="26"/>
    </row>
    <row r="213" spans="1:20" ht="20.100000000000001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5"/>
      <c r="P213" s="2"/>
      <c r="Q213" s="2"/>
      <c r="R213" s="2"/>
      <c r="S213" s="2"/>
      <c r="T213" s="26"/>
    </row>
    <row r="214" spans="1:20" ht="20.100000000000001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5"/>
      <c r="P214" s="2"/>
      <c r="Q214" s="2"/>
      <c r="R214" s="2"/>
      <c r="S214" s="2"/>
      <c r="T214" s="26"/>
    </row>
    <row r="215" spans="1:20" ht="20.100000000000001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5"/>
      <c r="P215" s="2"/>
      <c r="Q215" s="2"/>
      <c r="R215" s="2"/>
      <c r="S215" s="2"/>
      <c r="T215" s="26"/>
    </row>
    <row r="216" spans="1:20" ht="20.100000000000001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5"/>
      <c r="P216" s="2"/>
      <c r="Q216" s="2"/>
      <c r="R216" s="2"/>
      <c r="S216" s="2"/>
      <c r="T216" s="26"/>
    </row>
    <row r="217" spans="1:20" ht="20.100000000000001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5"/>
      <c r="P217" s="2"/>
      <c r="Q217" s="2"/>
      <c r="R217" s="2"/>
      <c r="S217" s="2"/>
      <c r="T217" s="26"/>
    </row>
    <row r="218" spans="1:20" ht="20.100000000000001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5"/>
      <c r="P218" s="2"/>
      <c r="Q218" s="2"/>
      <c r="R218" s="2"/>
      <c r="S218" s="2"/>
      <c r="T218" s="26"/>
    </row>
    <row r="219" spans="1:20" ht="20.100000000000001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5"/>
      <c r="P219" s="2"/>
      <c r="Q219" s="2"/>
      <c r="R219" s="2"/>
      <c r="S219" s="2"/>
      <c r="T219" s="26"/>
    </row>
    <row r="220" spans="1:20" ht="20.100000000000001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5"/>
      <c r="P220" s="2"/>
      <c r="Q220" s="2"/>
      <c r="R220" s="2"/>
      <c r="S220" s="2"/>
      <c r="T220" s="26"/>
    </row>
    <row r="221" spans="1:20" ht="20.100000000000001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5"/>
      <c r="P221" s="2"/>
      <c r="Q221" s="2"/>
      <c r="R221" s="2"/>
      <c r="S221" s="2"/>
      <c r="T221" s="26"/>
    </row>
    <row r="222" spans="1:20" ht="20.100000000000001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5"/>
      <c r="P222" s="2"/>
      <c r="Q222" s="2"/>
      <c r="R222" s="2"/>
      <c r="S222" s="2"/>
      <c r="T222" s="26"/>
    </row>
    <row r="223" spans="1:20" ht="20.100000000000001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5"/>
      <c r="P223" s="2"/>
      <c r="Q223" s="2"/>
      <c r="R223" s="2"/>
      <c r="S223" s="2"/>
      <c r="T223" s="26"/>
    </row>
    <row r="224" spans="1:20" ht="20.100000000000001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5"/>
      <c r="P224" s="2"/>
      <c r="Q224" s="2"/>
      <c r="R224" s="2"/>
      <c r="S224" s="2"/>
      <c r="T224" s="26"/>
    </row>
    <row r="225" spans="1:20" ht="20.100000000000001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5"/>
      <c r="P225" s="2"/>
      <c r="Q225" s="2"/>
      <c r="R225" s="2"/>
      <c r="S225" s="2"/>
      <c r="T225" s="26"/>
    </row>
    <row r="226" spans="1:20" ht="20.100000000000001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5"/>
      <c r="P226" s="2"/>
      <c r="Q226" s="2"/>
      <c r="R226" s="2"/>
      <c r="S226" s="2"/>
      <c r="T226" s="26"/>
    </row>
    <row r="227" spans="1:20" ht="20.100000000000001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5"/>
      <c r="P227" s="2"/>
      <c r="Q227" s="2"/>
      <c r="R227" s="2"/>
      <c r="S227" s="2"/>
      <c r="T227" s="26"/>
    </row>
    <row r="228" spans="1:20" ht="20.100000000000001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5"/>
      <c r="P228" s="2"/>
      <c r="Q228" s="2"/>
      <c r="R228" s="2"/>
      <c r="S228" s="2"/>
      <c r="T228" s="26"/>
    </row>
    <row r="229" spans="1:20" ht="20.100000000000001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5"/>
      <c r="P229" s="2"/>
      <c r="Q229" s="2"/>
      <c r="R229" s="2"/>
      <c r="S229" s="2"/>
      <c r="T229" s="26"/>
    </row>
    <row r="230" spans="1:20" ht="20.100000000000001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5"/>
      <c r="P230" s="2"/>
      <c r="Q230" s="2"/>
      <c r="R230" s="2"/>
      <c r="S230" s="2"/>
      <c r="T230" s="26"/>
    </row>
    <row r="231" spans="1:20" ht="20.100000000000001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5"/>
      <c r="P231" s="2"/>
      <c r="Q231" s="2"/>
      <c r="R231" s="2"/>
      <c r="S231" s="2"/>
      <c r="T231" s="26"/>
    </row>
    <row r="232" spans="1:20" ht="20.100000000000001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5"/>
      <c r="P232" s="2"/>
      <c r="Q232" s="2"/>
      <c r="R232" s="2"/>
      <c r="S232" s="2"/>
      <c r="T232" s="26"/>
    </row>
    <row r="233" spans="1:20" ht="20.100000000000001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5"/>
      <c r="P233" s="2"/>
      <c r="Q233" s="2"/>
      <c r="R233" s="2"/>
      <c r="S233" s="2"/>
      <c r="T233" s="26"/>
    </row>
    <row r="234" spans="1:20" ht="20.100000000000001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5"/>
      <c r="P234" s="2"/>
      <c r="Q234" s="2"/>
      <c r="R234" s="2"/>
      <c r="S234" s="2"/>
      <c r="T234" s="26"/>
    </row>
    <row r="235" spans="1:20" ht="20.100000000000001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5"/>
      <c r="P235" s="2"/>
      <c r="Q235" s="2"/>
      <c r="R235" s="2"/>
      <c r="S235" s="2"/>
      <c r="T235" s="26"/>
    </row>
    <row r="236" spans="1:20" ht="20.100000000000001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5"/>
      <c r="P236" s="2"/>
      <c r="Q236" s="2"/>
      <c r="R236" s="2"/>
      <c r="S236" s="2"/>
      <c r="T236" s="26"/>
    </row>
    <row r="237" spans="1:20" ht="20.100000000000001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5"/>
      <c r="P237" s="2"/>
      <c r="Q237" s="2"/>
      <c r="R237" s="2"/>
      <c r="S237" s="2"/>
      <c r="T237" s="26"/>
    </row>
    <row r="238" spans="1:20" ht="20.100000000000001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5"/>
      <c r="P238" s="2"/>
      <c r="Q238" s="2"/>
      <c r="R238" s="2"/>
      <c r="S238" s="2"/>
      <c r="T238" s="26"/>
    </row>
    <row r="239" spans="1:20" ht="20.100000000000001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5"/>
      <c r="P239" s="2"/>
      <c r="Q239" s="2"/>
      <c r="R239" s="2"/>
      <c r="S239" s="2"/>
      <c r="T239" s="26"/>
    </row>
    <row r="240" spans="1:20" ht="20.100000000000001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5"/>
      <c r="P240" s="2"/>
      <c r="Q240" s="2"/>
      <c r="R240" s="2"/>
      <c r="S240" s="2"/>
      <c r="T240" s="26"/>
    </row>
    <row r="241" spans="1:20" ht="20.100000000000001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5"/>
      <c r="P241" s="2"/>
      <c r="Q241" s="2"/>
      <c r="R241" s="2"/>
      <c r="S241" s="2"/>
      <c r="T241" s="26"/>
    </row>
    <row r="242" spans="1:20" ht="20.100000000000001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5"/>
      <c r="P242" s="2"/>
      <c r="Q242" s="2"/>
      <c r="R242" s="2"/>
      <c r="S242" s="2"/>
      <c r="T242" s="26"/>
    </row>
    <row r="243" spans="1:20" ht="20.100000000000001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5"/>
      <c r="P243" s="2"/>
      <c r="Q243" s="2"/>
      <c r="R243" s="2"/>
      <c r="S243" s="2"/>
      <c r="T243" s="26"/>
    </row>
    <row r="244" spans="1:20" ht="20.100000000000001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5"/>
      <c r="P244" s="2"/>
      <c r="Q244" s="2"/>
      <c r="R244" s="2"/>
      <c r="S244" s="2"/>
      <c r="T244" s="26"/>
    </row>
    <row r="245" spans="1:20" ht="20.100000000000001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5"/>
      <c r="P245" s="2"/>
      <c r="Q245" s="2"/>
      <c r="R245" s="2"/>
      <c r="S245" s="2"/>
      <c r="T245" s="26"/>
    </row>
    <row r="246" spans="1:20" ht="20.100000000000001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5"/>
      <c r="P246" s="2"/>
      <c r="Q246" s="2"/>
      <c r="R246" s="2"/>
      <c r="S246" s="2"/>
      <c r="T246" s="26"/>
    </row>
    <row r="247" spans="1:20" ht="20.100000000000001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5"/>
      <c r="P247" s="2"/>
      <c r="Q247" s="2"/>
      <c r="R247" s="2"/>
      <c r="S247" s="2"/>
      <c r="T247" s="26"/>
    </row>
    <row r="248" spans="1:20" ht="20.100000000000001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5"/>
      <c r="P248" s="2"/>
      <c r="Q248" s="2"/>
      <c r="R248" s="2"/>
      <c r="S248" s="2"/>
      <c r="T248" s="26"/>
    </row>
    <row r="249" spans="1:20" ht="20.100000000000001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5"/>
      <c r="P249" s="2"/>
      <c r="Q249" s="2"/>
      <c r="R249" s="2"/>
      <c r="S249" s="2"/>
      <c r="T249" s="26"/>
    </row>
    <row r="250" spans="1:20" ht="20.100000000000001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5"/>
      <c r="P250" s="2"/>
      <c r="Q250" s="2"/>
      <c r="R250" s="2"/>
      <c r="S250" s="2"/>
      <c r="T250" s="26"/>
    </row>
    <row r="251" spans="1:20" ht="20.100000000000001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5"/>
      <c r="P251" s="2"/>
      <c r="Q251" s="2"/>
      <c r="R251" s="2"/>
      <c r="S251" s="2"/>
      <c r="T251" s="26"/>
    </row>
    <row r="252" spans="1:20" ht="20.100000000000001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5"/>
      <c r="P252" s="2"/>
      <c r="Q252" s="2"/>
      <c r="R252" s="2"/>
      <c r="S252" s="2"/>
      <c r="T252" s="26"/>
    </row>
    <row r="253" spans="1:20" ht="20.100000000000001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5"/>
      <c r="P253" s="2"/>
      <c r="Q253" s="2"/>
      <c r="R253" s="2"/>
      <c r="S253" s="2"/>
      <c r="T253" s="26"/>
    </row>
    <row r="254" spans="1:20" ht="20.100000000000001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5"/>
      <c r="P254" s="2"/>
      <c r="Q254" s="2"/>
      <c r="R254" s="2"/>
      <c r="S254" s="2"/>
      <c r="T254" s="26"/>
    </row>
    <row r="255" spans="1:20" ht="20.100000000000001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5"/>
      <c r="P255" s="2"/>
      <c r="Q255" s="2"/>
      <c r="R255" s="2"/>
      <c r="S255" s="2"/>
      <c r="T255" s="26"/>
    </row>
    <row r="256" spans="1:20" ht="20.100000000000001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5"/>
      <c r="P256" s="2"/>
      <c r="Q256" s="2"/>
      <c r="R256" s="2"/>
      <c r="S256" s="2"/>
      <c r="T256" s="26"/>
    </row>
    <row r="257" spans="1:20" ht="20.100000000000001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5"/>
      <c r="P257" s="2"/>
      <c r="Q257" s="2"/>
      <c r="R257" s="2"/>
      <c r="S257" s="2"/>
      <c r="T257" s="26"/>
    </row>
    <row r="258" spans="1:20" ht="20.100000000000001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5"/>
      <c r="P258" s="2"/>
      <c r="Q258" s="2"/>
      <c r="R258" s="2"/>
      <c r="S258" s="2"/>
      <c r="T258" s="26"/>
    </row>
    <row r="259" spans="1:20" ht="20.100000000000001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5"/>
      <c r="P259" s="2"/>
      <c r="Q259" s="2"/>
      <c r="R259" s="2"/>
      <c r="S259" s="2"/>
      <c r="T259" s="26"/>
    </row>
    <row r="260" spans="1:20" ht="20.100000000000001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5"/>
      <c r="P260" s="2"/>
      <c r="Q260" s="2"/>
      <c r="R260" s="2"/>
      <c r="S260" s="2"/>
      <c r="T260" s="26"/>
    </row>
    <row r="261" spans="1:20" ht="20.100000000000001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5"/>
      <c r="P261" s="2"/>
      <c r="Q261" s="2"/>
      <c r="R261" s="2"/>
      <c r="S261" s="2"/>
      <c r="T261" s="26"/>
    </row>
    <row r="262" spans="1:20" ht="20.100000000000001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5"/>
      <c r="P262" s="2"/>
      <c r="Q262" s="2"/>
      <c r="R262" s="2"/>
      <c r="S262" s="2"/>
      <c r="T262" s="26"/>
    </row>
    <row r="263" spans="1:20" ht="20.100000000000001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5"/>
      <c r="P263" s="2"/>
      <c r="Q263" s="2"/>
      <c r="R263" s="2"/>
      <c r="S263" s="2"/>
      <c r="T263" s="26"/>
    </row>
    <row r="264" spans="1:20" ht="20.100000000000001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5"/>
      <c r="P264" s="2"/>
      <c r="Q264" s="2"/>
      <c r="R264" s="2"/>
      <c r="S264" s="2"/>
      <c r="T264" s="26"/>
    </row>
    <row r="265" spans="1:20" ht="20.100000000000001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5"/>
      <c r="P265" s="2"/>
      <c r="Q265" s="2"/>
      <c r="R265" s="2"/>
      <c r="S265" s="2"/>
      <c r="T265" s="26"/>
    </row>
    <row r="266" spans="1:20" ht="20.100000000000001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5"/>
      <c r="P266" s="2"/>
      <c r="Q266" s="2"/>
      <c r="R266" s="2"/>
      <c r="S266" s="2"/>
      <c r="T266" s="26"/>
    </row>
    <row r="267" spans="1:20" ht="20.100000000000001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5"/>
      <c r="P267" s="2"/>
      <c r="Q267" s="2"/>
      <c r="R267" s="2"/>
      <c r="S267" s="2"/>
      <c r="T267" s="26"/>
    </row>
    <row r="268" spans="1:20" ht="20.100000000000001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5"/>
      <c r="P268" s="2"/>
      <c r="Q268" s="2"/>
      <c r="R268" s="2"/>
      <c r="S268" s="2"/>
      <c r="T268" s="26"/>
    </row>
    <row r="269" spans="1:20" ht="20.100000000000001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5"/>
      <c r="P269" s="2"/>
      <c r="Q269" s="2"/>
      <c r="R269" s="2"/>
      <c r="S269" s="2"/>
      <c r="T269" s="26"/>
    </row>
    <row r="270" spans="1:20" ht="20.100000000000001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5"/>
      <c r="P270" s="2"/>
      <c r="Q270" s="2"/>
      <c r="R270" s="2"/>
      <c r="S270" s="2"/>
      <c r="T270" s="26"/>
    </row>
    <row r="271" spans="1:20" ht="20.100000000000001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5"/>
      <c r="P271" s="2"/>
      <c r="Q271" s="2"/>
      <c r="R271" s="2"/>
      <c r="S271" s="2"/>
      <c r="T271" s="26"/>
    </row>
    <row r="272" spans="1:20" ht="20.100000000000001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5"/>
      <c r="P272" s="2"/>
      <c r="Q272" s="2"/>
      <c r="R272" s="2"/>
      <c r="S272" s="2"/>
      <c r="T272" s="26"/>
    </row>
    <row r="273" spans="1:20" ht="20.100000000000001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5"/>
      <c r="P273" s="2"/>
      <c r="Q273" s="2"/>
      <c r="R273" s="2"/>
      <c r="S273" s="2"/>
      <c r="T273" s="26"/>
    </row>
    <row r="274" spans="1:20" ht="20.100000000000001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5"/>
      <c r="P274" s="2"/>
      <c r="Q274" s="2"/>
      <c r="R274" s="2"/>
      <c r="S274" s="2"/>
      <c r="T274" s="26"/>
    </row>
    <row r="275" spans="1:20" ht="20.100000000000001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5"/>
      <c r="P275" s="2"/>
      <c r="Q275" s="2"/>
      <c r="R275" s="2"/>
      <c r="S275" s="2"/>
      <c r="T275" s="26"/>
    </row>
    <row r="276" spans="1:20" ht="20.100000000000001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5"/>
      <c r="P276" s="2"/>
      <c r="Q276" s="2"/>
      <c r="R276" s="2"/>
      <c r="S276" s="2"/>
      <c r="T276" s="26"/>
    </row>
    <row r="277" spans="1:20" ht="20.100000000000001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5"/>
      <c r="P277" s="2"/>
      <c r="Q277" s="2"/>
      <c r="R277" s="2"/>
      <c r="S277" s="2"/>
      <c r="T277" s="26"/>
    </row>
    <row r="278" spans="1:20" ht="20.100000000000001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5"/>
      <c r="P278" s="2"/>
      <c r="Q278" s="2"/>
      <c r="R278" s="2"/>
      <c r="S278" s="2"/>
      <c r="T278" s="26"/>
    </row>
    <row r="279" spans="1:20" ht="20.100000000000001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5"/>
      <c r="P279" s="2"/>
      <c r="Q279" s="2"/>
      <c r="R279" s="2"/>
      <c r="S279" s="2"/>
      <c r="T279" s="26"/>
    </row>
    <row r="280" spans="1:20" ht="20.100000000000001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5"/>
      <c r="P280" s="2"/>
      <c r="Q280" s="2"/>
      <c r="R280" s="2"/>
      <c r="S280" s="2"/>
      <c r="T280" s="26"/>
    </row>
    <row r="281" spans="1:20" ht="20.100000000000001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5"/>
      <c r="P281" s="2"/>
      <c r="Q281" s="2"/>
      <c r="R281" s="2"/>
      <c r="S281" s="2"/>
      <c r="T281" s="26"/>
    </row>
    <row r="282" spans="1:20" ht="20.100000000000001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5"/>
      <c r="P282" s="2"/>
      <c r="Q282" s="2"/>
      <c r="R282" s="2"/>
      <c r="S282" s="2"/>
      <c r="T282" s="26"/>
    </row>
    <row r="283" spans="1:20" ht="20.100000000000001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5"/>
      <c r="P283" s="2"/>
      <c r="Q283" s="2"/>
      <c r="R283" s="2"/>
      <c r="S283" s="2"/>
      <c r="T283" s="26"/>
    </row>
    <row r="284" spans="1:20" ht="20.100000000000001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5"/>
      <c r="P284" s="2"/>
      <c r="Q284" s="2"/>
      <c r="R284" s="2"/>
      <c r="S284" s="2"/>
      <c r="T284" s="26"/>
    </row>
    <row r="285" spans="1:20" ht="20.100000000000001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5"/>
      <c r="P285" s="2"/>
      <c r="Q285" s="2"/>
      <c r="R285" s="2"/>
      <c r="S285" s="2"/>
      <c r="T285" s="26"/>
    </row>
    <row r="286" spans="1:20" ht="20.100000000000001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5"/>
      <c r="P286" s="2"/>
      <c r="Q286" s="2"/>
      <c r="R286" s="2"/>
      <c r="S286" s="2"/>
      <c r="T286" s="26"/>
    </row>
    <row r="287" spans="1:20" ht="20.100000000000001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5"/>
      <c r="P287" s="2"/>
      <c r="Q287" s="2"/>
      <c r="R287" s="2"/>
      <c r="S287" s="2"/>
      <c r="T287" s="26"/>
    </row>
    <row r="288" spans="1:20" ht="20.100000000000001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5"/>
      <c r="P288" s="2"/>
      <c r="Q288" s="2"/>
      <c r="R288" s="2"/>
      <c r="S288" s="2"/>
      <c r="T288" s="26"/>
    </row>
    <row r="289" spans="1:20" ht="20.100000000000001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5"/>
      <c r="P289" s="2"/>
      <c r="Q289" s="2"/>
      <c r="R289" s="2"/>
      <c r="S289" s="2"/>
      <c r="T289" s="26"/>
    </row>
    <row r="290" spans="1:20" ht="20.100000000000001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5"/>
      <c r="P290" s="2"/>
      <c r="Q290" s="2"/>
      <c r="R290" s="2"/>
      <c r="S290" s="2"/>
      <c r="T290" s="26"/>
    </row>
    <row r="291" spans="1:20" ht="20.100000000000001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5"/>
      <c r="P291" s="2"/>
      <c r="Q291" s="2"/>
      <c r="R291" s="2"/>
      <c r="S291" s="2"/>
      <c r="T291" s="26"/>
    </row>
    <row r="292" spans="1:20" ht="20.100000000000001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5"/>
      <c r="P292" s="2"/>
      <c r="Q292" s="2"/>
      <c r="R292" s="2"/>
      <c r="S292" s="2"/>
      <c r="T292" s="26"/>
    </row>
    <row r="293" spans="1:20" ht="20.100000000000001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5"/>
      <c r="P293" s="2"/>
      <c r="Q293" s="2"/>
      <c r="R293" s="2"/>
      <c r="S293" s="2"/>
      <c r="T293" s="26"/>
    </row>
    <row r="294" spans="1:20" ht="20.100000000000001" customHeight="1" x14ac:dyDescent="0.3">
      <c r="T294" s="26"/>
    </row>
    <row r="295" spans="1:20" ht="20.100000000000001" customHeight="1" x14ac:dyDescent="0.3">
      <c r="T295" s="26"/>
    </row>
    <row r="296" spans="1:20" ht="20.100000000000001" customHeight="1" x14ac:dyDescent="0.3">
      <c r="T296" s="26"/>
    </row>
    <row r="297" spans="1:20" ht="20.100000000000001" customHeight="1" x14ac:dyDescent="0.3">
      <c r="T297" s="26"/>
    </row>
    <row r="298" spans="1:20" ht="20.100000000000001" customHeight="1" x14ac:dyDescent="0.3">
      <c r="T298" s="26"/>
    </row>
    <row r="299" spans="1:20" ht="20.100000000000001" customHeight="1" x14ac:dyDescent="0.3">
      <c r="T299" s="26"/>
    </row>
    <row r="300" spans="1:20" ht="20.100000000000001" customHeight="1" x14ac:dyDescent="0.3">
      <c r="T300" s="26"/>
    </row>
    <row r="301" spans="1:20" ht="20.100000000000001" customHeight="1" x14ac:dyDescent="0.3">
      <c r="T301" s="26"/>
    </row>
    <row r="302" spans="1:20" ht="20.100000000000001" customHeight="1" x14ac:dyDescent="0.3">
      <c r="T302" s="26"/>
    </row>
    <row r="303" spans="1:20" ht="20.100000000000001" customHeight="1" x14ac:dyDescent="0.3">
      <c r="T303" s="26"/>
    </row>
    <row r="304" spans="1:20" ht="20.100000000000001" customHeight="1" x14ac:dyDescent="0.3">
      <c r="T304" s="26"/>
    </row>
    <row r="305" spans="20:20" ht="20.100000000000001" customHeight="1" x14ac:dyDescent="0.3">
      <c r="T305" s="26"/>
    </row>
    <row r="306" spans="20:20" ht="20.100000000000001" customHeight="1" x14ac:dyDescent="0.3">
      <c r="T306" s="26"/>
    </row>
    <row r="307" spans="20:20" ht="20.100000000000001" customHeight="1" x14ac:dyDescent="0.3">
      <c r="T307" s="26"/>
    </row>
    <row r="308" spans="20:20" ht="20.100000000000001" customHeight="1" x14ac:dyDescent="0.3">
      <c r="T308" s="26"/>
    </row>
    <row r="309" spans="20:20" ht="20.100000000000001" customHeight="1" x14ac:dyDescent="0.3">
      <c r="T309" s="26"/>
    </row>
    <row r="310" spans="20:20" ht="20.100000000000001" customHeight="1" x14ac:dyDescent="0.3">
      <c r="T310" s="26"/>
    </row>
    <row r="311" spans="20:20" ht="20.100000000000001" customHeight="1" x14ac:dyDescent="0.3">
      <c r="T311" s="26"/>
    </row>
    <row r="312" spans="20:20" ht="20.100000000000001" customHeight="1" x14ac:dyDescent="0.3">
      <c r="T312" s="26"/>
    </row>
    <row r="313" spans="20:20" ht="20.100000000000001" customHeight="1" x14ac:dyDescent="0.3">
      <c r="T313" s="26"/>
    </row>
    <row r="314" spans="20:20" ht="20.100000000000001" customHeight="1" x14ac:dyDescent="0.3">
      <c r="T314" s="26"/>
    </row>
    <row r="315" spans="20:20" ht="20.100000000000001" customHeight="1" x14ac:dyDescent="0.3">
      <c r="T315" s="26"/>
    </row>
    <row r="316" spans="20:20" ht="20.100000000000001" customHeight="1" x14ac:dyDescent="0.3">
      <c r="T316" s="26"/>
    </row>
    <row r="317" spans="20:20" ht="20.100000000000001" customHeight="1" x14ac:dyDescent="0.3">
      <c r="T317" s="26"/>
    </row>
    <row r="318" spans="20:20" ht="20.100000000000001" customHeight="1" x14ac:dyDescent="0.3">
      <c r="T318" s="26"/>
    </row>
    <row r="319" spans="20:20" ht="20.100000000000001" customHeight="1" x14ac:dyDescent="0.3">
      <c r="T319" s="26"/>
    </row>
    <row r="320" spans="20:20" ht="20.100000000000001" customHeight="1" x14ac:dyDescent="0.3">
      <c r="T320" s="26"/>
    </row>
    <row r="321" spans="20:20" ht="20.100000000000001" customHeight="1" x14ac:dyDescent="0.3">
      <c r="T321" s="26"/>
    </row>
    <row r="322" spans="20:20" ht="20.100000000000001" customHeight="1" x14ac:dyDescent="0.3">
      <c r="T322" s="26"/>
    </row>
    <row r="323" spans="20:20" ht="20.100000000000001" customHeight="1" x14ac:dyDescent="0.3">
      <c r="T323" s="26"/>
    </row>
    <row r="324" spans="20:20" ht="20.100000000000001" customHeight="1" x14ac:dyDescent="0.3">
      <c r="T324" s="26"/>
    </row>
    <row r="325" spans="20:20" ht="20.100000000000001" customHeight="1" x14ac:dyDescent="0.3">
      <c r="T325" s="26"/>
    </row>
    <row r="326" spans="20:20" ht="20.100000000000001" customHeight="1" x14ac:dyDescent="0.3">
      <c r="T326" s="26"/>
    </row>
    <row r="327" spans="20:20" ht="20.100000000000001" customHeight="1" x14ac:dyDescent="0.3">
      <c r="T327" s="26"/>
    </row>
    <row r="328" spans="20:20" ht="20.100000000000001" customHeight="1" x14ac:dyDescent="0.3">
      <c r="T328" s="26"/>
    </row>
    <row r="329" spans="20:20" ht="20.100000000000001" customHeight="1" x14ac:dyDescent="0.3">
      <c r="T329" s="26"/>
    </row>
    <row r="330" spans="20:20" ht="20.100000000000001" customHeight="1" x14ac:dyDescent="0.3">
      <c r="T330" s="26"/>
    </row>
    <row r="331" spans="20:20" ht="20.100000000000001" customHeight="1" x14ac:dyDescent="0.3">
      <c r="T331" s="26"/>
    </row>
    <row r="332" spans="20:20" ht="20.100000000000001" customHeight="1" x14ac:dyDescent="0.3">
      <c r="T332" s="26"/>
    </row>
    <row r="333" spans="20:20" ht="20.100000000000001" customHeight="1" x14ac:dyDescent="0.3">
      <c r="T333" s="26"/>
    </row>
    <row r="334" spans="20:20" ht="20.100000000000001" customHeight="1" x14ac:dyDescent="0.3">
      <c r="T334" s="26"/>
    </row>
    <row r="335" spans="20:20" ht="20.100000000000001" customHeight="1" x14ac:dyDescent="0.3">
      <c r="T335" s="26"/>
    </row>
    <row r="336" spans="20:20" ht="20.100000000000001" customHeight="1" x14ac:dyDescent="0.3">
      <c r="T336" s="26"/>
    </row>
    <row r="337" spans="20:20" ht="20.100000000000001" customHeight="1" x14ac:dyDescent="0.3">
      <c r="T337" s="26"/>
    </row>
    <row r="338" spans="20:20" ht="20.100000000000001" customHeight="1" x14ac:dyDescent="0.3">
      <c r="T338" s="26"/>
    </row>
    <row r="339" spans="20:20" ht="20.100000000000001" customHeight="1" x14ac:dyDescent="0.3">
      <c r="T339" s="26"/>
    </row>
    <row r="340" spans="20:20" ht="20.100000000000001" customHeight="1" x14ac:dyDescent="0.3">
      <c r="T340" s="26"/>
    </row>
    <row r="341" spans="20:20" ht="20.100000000000001" customHeight="1" x14ac:dyDescent="0.3">
      <c r="T341" s="26"/>
    </row>
    <row r="342" spans="20:20" ht="20.100000000000001" customHeight="1" x14ac:dyDescent="0.3">
      <c r="T342" s="26"/>
    </row>
    <row r="343" spans="20:20" ht="20.100000000000001" customHeight="1" x14ac:dyDescent="0.3">
      <c r="T343" s="26"/>
    </row>
    <row r="344" spans="20:20" ht="20.100000000000001" customHeight="1" x14ac:dyDescent="0.3">
      <c r="T344" s="26"/>
    </row>
    <row r="345" spans="20:20" ht="20.100000000000001" customHeight="1" x14ac:dyDescent="0.3">
      <c r="T345" s="26"/>
    </row>
    <row r="346" spans="20:20" ht="20.100000000000001" customHeight="1" x14ac:dyDescent="0.3">
      <c r="T346" s="26"/>
    </row>
    <row r="347" spans="20:20" ht="20.100000000000001" customHeight="1" x14ac:dyDescent="0.3">
      <c r="T347" s="26"/>
    </row>
    <row r="348" spans="20:20" ht="20.100000000000001" customHeight="1" x14ac:dyDescent="0.3">
      <c r="T348" s="26"/>
    </row>
    <row r="349" spans="20:20" ht="20.100000000000001" customHeight="1" x14ac:dyDescent="0.3">
      <c r="T349" s="26"/>
    </row>
    <row r="350" spans="20:20" ht="20.100000000000001" customHeight="1" x14ac:dyDescent="0.3">
      <c r="T350" s="26"/>
    </row>
    <row r="351" spans="20:20" ht="20.100000000000001" customHeight="1" x14ac:dyDescent="0.3">
      <c r="T351" s="26"/>
    </row>
    <row r="352" spans="20:20" ht="20.100000000000001" customHeight="1" x14ac:dyDescent="0.3">
      <c r="T352" s="26"/>
    </row>
    <row r="353" spans="20:20" ht="20.100000000000001" customHeight="1" x14ac:dyDescent="0.3">
      <c r="T353" s="26"/>
    </row>
    <row r="354" spans="20:20" ht="20.100000000000001" customHeight="1" x14ac:dyDescent="0.3">
      <c r="T354" s="26"/>
    </row>
    <row r="355" spans="20:20" ht="20.100000000000001" customHeight="1" x14ac:dyDescent="0.3">
      <c r="T355" s="26"/>
    </row>
    <row r="356" spans="20:20" ht="20.100000000000001" customHeight="1" x14ac:dyDescent="0.3">
      <c r="T356" s="26"/>
    </row>
    <row r="357" spans="20:20" ht="20.100000000000001" customHeight="1" x14ac:dyDescent="0.3">
      <c r="T357" s="26"/>
    </row>
    <row r="358" spans="20:20" ht="20.100000000000001" customHeight="1" x14ac:dyDescent="0.3">
      <c r="T358" s="26"/>
    </row>
    <row r="359" spans="20:20" ht="20.100000000000001" customHeight="1" x14ac:dyDescent="0.3">
      <c r="T359" s="26"/>
    </row>
    <row r="360" spans="20:20" ht="20.100000000000001" customHeight="1" x14ac:dyDescent="0.3">
      <c r="T360" s="26"/>
    </row>
    <row r="361" spans="20:20" ht="20.100000000000001" customHeight="1" x14ac:dyDescent="0.3">
      <c r="T361" s="26"/>
    </row>
    <row r="362" spans="20:20" ht="20.100000000000001" customHeight="1" x14ac:dyDescent="0.3">
      <c r="T362" s="26"/>
    </row>
    <row r="363" spans="20:20" ht="20.100000000000001" customHeight="1" x14ac:dyDescent="0.3">
      <c r="T363" s="26"/>
    </row>
    <row r="364" spans="20:20" ht="20.100000000000001" customHeight="1" x14ac:dyDescent="0.3">
      <c r="T364" s="26"/>
    </row>
    <row r="365" spans="20:20" ht="20.100000000000001" customHeight="1" x14ac:dyDescent="0.3">
      <c r="T365" s="26"/>
    </row>
    <row r="366" spans="20:20" ht="20.100000000000001" customHeight="1" x14ac:dyDescent="0.3">
      <c r="T366" s="26"/>
    </row>
    <row r="367" spans="20:20" ht="20.100000000000001" customHeight="1" x14ac:dyDescent="0.3">
      <c r="T367" s="26"/>
    </row>
    <row r="368" spans="20:20" ht="20.100000000000001" customHeight="1" x14ac:dyDescent="0.3">
      <c r="T368" s="26"/>
    </row>
    <row r="369" spans="20:20" ht="20.100000000000001" customHeight="1" x14ac:dyDescent="0.3">
      <c r="T369" s="26"/>
    </row>
    <row r="370" spans="20:20" ht="20.100000000000001" customHeight="1" x14ac:dyDescent="0.3">
      <c r="T370" s="26"/>
    </row>
    <row r="371" spans="20:20" ht="20.100000000000001" customHeight="1" x14ac:dyDescent="0.3">
      <c r="T371" s="26"/>
    </row>
    <row r="372" spans="20:20" ht="20.100000000000001" customHeight="1" x14ac:dyDescent="0.3">
      <c r="T372" s="26"/>
    </row>
    <row r="373" spans="20:20" ht="20.100000000000001" customHeight="1" x14ac:dyDescent="0.3">
      <c r="T373" s="26"/>
    </row>
    <row r="374" spans="20:20" ht="20.100000000000001" customHeight="1" x14ac:dyDescent="0.3">
      <c r="T374" s="26"/>
    </row>
    <row r="375" spans="20:20" ht="20.100000000000001" customHeight="1" x14ac:dyDescent="0.3">
      <c r="T375" s="26"/>
    </row>
    <row r="376" spans="20:20" ht="20.100000000000001" customHeight="1" x14ac:dyDescent="0.3">
      <c r="T376" s="26"/>
    </row>
    <row r="377" spans="20:20" ht="20.100000000000001" customHeight="1" x14ac:dyDescent="0.3">
      <c r="T377" s="26"/>
    </row>
    <row r="378" spans="20:20" ht="20.100000000000001" customHeight="1" x14ac:dyDescent="0.3">
      <c r="T378" s="26"/>
    </row>
    <row r="379" spans="20:20" ht="20.100000000000001" customHeight="1" x14ac:dyDescent="0.3">
      <c r="T379" s="26"/>
    </row>
    <row r="380" spans="20:20" ht="20.100000000000001" customHeight="1" x14ac:dyDescent="0.3">
      <c r="T380" s="26"/>
    </row>
    <row r="381" spans="20:20" ht="20.100000000000001" customHeight="1" x14ac:dyDescent="0.3">
      <c r="T381" s="26"/>
    </row>
    <row r="382" spans="20:20" ht="20.100000000000001" customHeight="1" x14ac:dyDescent="0.3">
      <c r="T382" s="26"/>
    </row>
    <row r="383" spans="20:20" ht="20.100000000000001" customHeight="1" x14ac:dyDescent="0.3">
      <c r="T383" s="26"/>
    </row>
    <row r="384" spans="20:20" ht="20.100000000000001" customHeight="1" x14ac:dyDescent="0.3">
      <c r="T384" s="26"/>
    </row>
    <row r="385" spans="20:20" ht="20.100000000000001" customHeight="1" x14ac:dyDescent="0.3">
      <c r="T385" s="26"/>
    </row>
    <row r="386" spans="20:20" ht="20.100000000000001" customHeight="1" x14ac:dyDescent="0.3">
      <c r="T386" s="26"/>
    </row>
    <row r="387" spans="20:20" ht="20.100000000000001" customHeight="1" x14ac:dyDescent="0.3">
      <c r="T387" s="26"/>
    </row>
    <row r="388" spans="20:20" ht="20.100000000000001" customHeight="1" x14ac:dyDescent="0.3">
      <c r="T388" s="26"/>
    </row>
    <row r="389" spans="20:20" ht="20.100000000000001" customHeight="1" x14ac:dyDescent="0.3">
      <c r="T389" s="26"/>
    </row>
    <row r="390" spans="20:20" ht="20.100000000000001" customHeight="1" x14ac:dyDescent="0.3">
      <c r="T390" s="26"/>
    </row>
    <row r="391" spans="20:20" ht="20.100000000000001" customHeight="1" x14ac:dyDescent="0.3">
      <c r="T391" s="26"/>
    </row>
    <row r="392" spans="20:20" ht="20.100000000000001" customHeight="1" x14ac:dyDescent="0.3">
      <c r="T392" s="26"/>
    </row>
    <row r="393" spans="20:20" ht="20.100000000000001" customHeight="1" x14ac:dyDescent="0.3">
      <c r="T393" s="26"/>
    </row>
    <row r="394" spans="20:20" ht="20.100000000000001" customHeight="1" x14ac:dyDescent="0.3">
      <c r="T394" s="26"/>
    </row>
    <row r="395" spans="20:20" ht="20.100000000000001" customHeight="1" x14ac:dyDescent="0.3">
      <c r="T395" s="26"/>
    </row>
    <row r="396" spans="20:20" ht="20.100000000000001" customHeight="1" x14ac:dyDescent="0.3">
      <c r="T396" s="26"/>
    </row>
    <row r="397" spans="20:20" ht="20.100000000000001" customHeight="1" x14ac:dyDescent="0.3">
      <c r="T397" s="26"/>
    </row>
    <row r="398" spans="20:20" ht="20.100000000000001" customHeight="1" x14ac:dyDescent="0.3">
      <c r="T398" s="26"/>
    </row>
    <row r="399" spans="20:20" ht="20.100000000000001" customHeight="1" x14ac:dyDescent="0.3">
      <c r="T399" s="26"/>
    </row>
    <row r="400" spans="20:20" ht="20.100000000000001" customHeight="1" x14ac:dyDescent="0.3">
      <c r="T400" s="26"/>
    </row>
    <row r="401" spans="20:20" ht="20.100000000000001" customHeight="1" x14ac:dyDescent="0.3">
      <c r="T401" s="26"/>
    </row>
    <row r="402" spans="20:20" ht="20.100000000000001" customHeight="1" x14ac:dyDescent="0.3">
      <c r="T402" s="26"/>
    </row>
    <row r="403" spans="20:20" ht="20.100000000000001" customHeight="1" x14ac:dyDescent="0.3">
      <c r="T403" s="26"/>
    </row>
    <row r="404" spans="20:20" ht="20.100000000000001" customHeight="1" x14ac:dyDescent="0.3">
      <c r="T404" s="26"/>
    </row>
    <row r="405" spans="20:20" ht="20.100000000000001" customHeight="1" x14ac:dyDescent="0.3">
      <c r="T405" s="26"/>
    </row>
    <row r="406" spans="20:20" ht="20.100000000000001" customHeight="1" x14ac:dyDescent="0.3">
      <c r="T406" s="26"/>
    </row>
    <row r="407" spans="20:20" ht="20.100000000000001" customHeight="1" x14ac:dyDescent="0.3">
      <c r="T407" s="26"/>
    </row>
    <row r="408" spans="20:20" ht="20.100000000000001" customHeight="1" x14ac:dyDescent="0.3">
      <c r="T408" s="26"/>
    </row>
    <row r="409" spans="20:20" ht="20.100000000000001" customHeight="1" x14ac:dyDescent="0.3">
      <c r="T409" s="26"/>
    </row>
    <row r="410" spans="20:20" ht="20.100000000000001" customHeight="1" x14ac:dyDescent="0.3">
      <c r="T410" s="26"/>
    </row>
    <row r="411" spans="20:20" ht="20.100000000000001" customHeight="1" x14ac:dyDescent="0.3">
      <c r="T411" s="26"/>
    </row>
    <row r="412" spans="20:20" ht="20.100000000000001" customHeight="1" x14ac:dyDescent="0.3">
      <c r="T412" s="26"/>
    </row>
    <row r="413" spans="20:20" ht="20.100000000000001" customHeight="1" x14ac:dyDescent="0.3">
      <c r="T413" s="26"/>
    </row>
    <row r="414" spans="20:20" ht="20.100000000000001" customHeight="1" x14ac:dyDescent="0.3">
      <c r="T414" s="26"/>
    </row>
    <row r="415" spans="20:20" ht="20.100000000000001" customHeight="1" x14ac:dyDescent="0.3">
      <c r="T415" s="26"/>
    </row>
    <row r="416" spans="20:20" ht="20.100000000000001" customHeight="1" x14ac:dyDescent="0.3">
      <c r="T416" s="26"/>
    </row>
    <row r="417" spans="20:20" ht="20.100000000000001" customHeight="1" x14ac:dyDescent="0.3">
      <c r="T417" s="26"/>
    </row>
    <row r="418" spans="20:20" ht="20.100000000000001" customHeight="1" x14ac:dyDescent="0.3">
      <c r="T418" s="26"/>
    </row>
    <row r="419" spans="20:20" ht="20.100000000000001" customHeight="1" x14ac:dyDescent="0.3">
      <c r="T419" s="26"/>
    </row>
    <row r="420" spans="20:20" ht="20.100000000000001" customHeight="1" x14ac:dyDescent="0.3">
      <c r="T420" s="26"/>
    </row>
    <row r="421" spans="20:20" ht="20.100000000000001" customHeight="1" x14ac:dyDescent="0.3">
      <c r="T421" s="26"/>
    </row>
    <row r="422" spans="20:20" ht="20.100000000000001" customHeight="1" x14ac:dyDescent="0.3">
      <c r="T422" s="26"/>
    </row>
    <row r="423" spans="20:20" ht="20.100000000000001" customHeight="1" x14ac:dyDescent="0.3">
      <c r="T423" s="26"/>
    </row>
    <row r="424" spans="20:20" ht="20.100000000000001" customHeight="1" x14ac:dyDescent="0.3">
      <c r="T424" s="26"/>
    </row>
    <row r="425" spans="20:20" ht="20.100000000000001" customHeight="1" x14ac:dyDescent="0.3">
      <c r="T425" s="26"/>
    </row>
    <row r="426" spans="20:20" ht="20.100000000000001" customHeight="1" x14ac:dyDescent="0.3">
      <c r="T426" s="26"/>
    </row>
    <row r="427" spans="20:20" ht="20.100000000000001" customHeight="1" x14ac:dyDescent="0.3">
      <c r="T427" s="26"/>
    </row>
    <row r="428" spans="20:20" ht="20.100000000000001" customHeight="1" x14ac:dyDescent="0.3">
      <c r="T428" s="26"/>
    </row>
    <row r="429" spans="20:20" ht="20.100000000000001" customHeight="1" x14ac:dyDescent="0.3">
      <c r="T429" s="26"/>
    </row>
    <row r="430" spans="20:20" ht="20.100000000000001" customHeight="1" x14ac:dyDescent="0.3">
      <c r="T430" s="26"/>
    </row>
    <row r="431" spans="20:20" ht="20.100000000000001" customHeight="1" x14ac:dyDescent="0.3">
      <c r="T431" s="26"/>
    </row>
    <row r="432" spans="20:20" ht="20.100000000000001" customHeight="1" x14ac:dyDescent="0.3">
      <c r="T432" s="26"/>
    </row>
    <row r="433" spans="20:20" ht="20.100000000000001" customHeight="1" x14ac:dyDescent="0.3">
      <c r="T433" s="26"/>
    </row>
    <row r="434" spans="20:20" ht="20.100000000000001" customHeight="1" x14ac:dyDescent="0.3">
      <c r="T434" s="26"/>
    </row>
    <row r="435" spans="20:20" ht="20.100000000000001" customHeight="1" x14ac:dyDescent="0.3">
      <c r="T435" s="26"/>
    </row>
    <row r="436" spans="20:20" ht="20.100000000000001" customHeight="1" x14ac:dyDescent="0.3">
      <c r="T436" s="26"/>
    </row>
    <row r="437" spans="20:20" ht="20.100000000000001" customHeight="1" x14ac:dyDescent="0.3">
      <c r="T437" s="26"/>
    </row>
    <row r="438" spans="20:20" ht="20.100000000000001" customHeight="1" x14ac:dyDescent="0.3">
      <c r="T438" s="26"/>
    </row>
    <row r="439" spans="20:20" ht="20.100000000000001" customHeight="1" x14ac:dyDescent="0.3">
      <c r="T439" s="26"/>
    </row>
    <row r="440" spans="20:20" ht="20.100000000000001" customHeight="1" x14ac:dyDescent="0.3">
      <c r="T440" s="26"/>
    </row>
    <row r="441" spans="20:20" ht="20.100000000000001" customHeight="1" x14ac:dyDescent="0.3">
      <c r="T441" s="26"/>
    </row>
    <row r="442" spans="20:20" ht="20.100000000000001" customHeight="1" x14ac:dyDescent="0.3">
      <c r="T442" s="26"/>
    </row>
    <row r="443" spans="20:20" ht="20.100000000000001" customHeight="1" x14ac:dyDescent="0.3">
      <c r="T443" s="26"/>
    </row>
    <row r="444" spans="20:20" ht="20.100000000000001" customHeight="1" x14ac:dyDescent="0.3">
      <c r="T444" s="26"/>
    </row>
    <row r="445" spans="20:20" ht="20.100000000000001" customHeight="1" x14ac:dyDescent="0.3">
      <c r="T445" s="26"/>
    </row>
    <row r="446" spans="20:20" ht="20.100000000000001" customHeight="1" x14ac:dyDescent="0.3">
      <c r="T446" s="26"/>
    </row>
    <row r="447" spans="20:20" ht="20.100000000000001" customHeight="1" x14ac:dyDescent="0.3">
      <c r="T447" s="26"/>
    </row>
    <row r="448" spans="20:20" ht="20.100000000000001" customHeight="1" x14ac:dyDescent="0.3">
      <c r="T448" s="26"/>
    </row>
    <row r="449" spans="20:20" ht="20.100000000000001" customHeight="1" x14ac:dyDescent="0.3">
      <c r="T449" s="26"/>
    </row>
    <row r="450" spans="20:20" ht="20.100000000000001" customHeight="1" x14ac:dyDescent="0.3">
      <c r="T450" s="26"/>
    </row>
    <row r="451" spans="20:20" ht="20.100000000000001" customHeight="1" x14ac:dyDescent="0.3">
      <c r="T451" s="26"/>
    </row>
    <row r="452" spans="20:20" ht="20.100000000000001" customHeight="1" x14ac:dyDescent="0.3">
      <c r="T452" s="26"/>
    </row>
    <row r="453" spans="20:20" ht="20.100000000000001" customHeight="1" x14ac:dyDescent="0.3">
      <c r="T453" s="26"/>
    </row>
    <row r="454" spans="20:20" ht="20.100000000000001" customHeight="1" x14ac:dyDescent="0.3">
      <c r="T454" s="26"/>
    </row>
    <row r="455" spans="20:20" ht="20.100000000000001" customHeight="1" x14ac:dyDescent="0.3">
      <c r="T455" s="26"/>
    </row>
    <row r="456" spans="20:20" ht="20.100000000000001" customHeight="1" x14ac:dyDescent="0.3">
      <c r="T456" s="26"/>
    </row>
    <row r="457" spans="20:20" ht="20.100000000000001" customHeight="1" x14ac:dyDescent="0.3">
      <c r="T457" s="26"/>
    </row>
    <row r="458" spans="20:20" ht="20.100000000000001" customHeight="1" x14ac:dyDescent="0.3">
      <c r="T458" s="26"/>
    </row>
    <row r="459" spans="20:20" ht="20.100000000000001" customHeight="1" x14ac:dyDescent="0.3">
      <c r="T459" s="26"/>
    </row>
    <row r="460" spans="20:20" ht="20.100000000000001" customHeight="1" x14ac:dyDescent="0.3">
      <c r="T460" s="26"/>
    </row>
    <row r="461" spans="20:20" ht="20.100000000000001" customHeight="1" x14ac:dyDescent="0.3">
      <c r="T461" s="26"/>
    </row>
    <row r="462" spans="20:20" ht="20.100000000000001" customHeight="1" x14ac:dyDescent="0.3">
      <c r="T462" s="26"/>
    </row>
    <row r="463" spans="20:20" ht="20.100000000000001" customHeight="1" x14ac:dyDescent="0.3">
      <c r="T463" s="26"/>
    </row>
    <row r="464" spans="20:20" ht="20.100000000000001" customHeight="1" x14ac:dyDescent="0.3">
      <c r="T464" s="26"/>
    </row>
    <row r="465" spans="20:20" ht="20.100000000000001" customHeight="1" x14ac:dyDescent="0.3">
      <c r="T465" s="26"/>
    </row>
    <row r="466" spans="20:20" ht="20.100000000000001" customHeight="1" x14ac:dyDescent="0.3">
      <c r="T466" s="26"/>
    </row>
    <row r="467" spans="20:20" ht="20.100000000000001" customHeight="1" x14ac:dyDescent="0.3">
      <c r="T467" s="26"/>
    </row>
    <row r="468" spans="20:20" ht="20.100000000000001" customHeight="1" x14ac:dyDescent="0.3">
      <c r="T468" s="26"/>
    </row>
    <row r="469" spans="20:20" ht="20.100000000000001" customHeight="1" x14ac:dyDescent="0.3">
      <c r="T469" s="26"/>
    </row>
    <row r="470" spans="20:20" ht="20.100000000000001" customHeight="1" x14ac:dyDescent="0.3">
      <c r="T470" s="26"/>
    </row>
    <row r="471" spans="20:20" ht="20.100000000000001" customHeight="1" x14ac:dyDescent="0.3">
      <c r="T471" s="26"/>
    </row>
    <row r="472" spans="20:20" ht="20.100000000000001" customHeight="1" x14ac:dyDescent="0.3">
      <c r="T472" s="26"/>
    </row>
    <row r="473" spans="20:20" ht="20.100000000000001" customHeight="1" x14ac:dyDescent="0.3">
      <c r="T473" s="26"/>
    </row>
    <row r="474" spans="20:20" ht="20.100000000000001" customHeight="1" x14ac:dyDescent="0.3">
      <c r="T474" s="26"/>
    </row>
    <row r="475" spans="20:20" ht="20.100000000000001" customHeight="1" x14ac:dyDescent="0.3">
      <c r="T475" s="26"/>
    </row>
    <row r="476" spans="20:20" ht="20.100000000000001" customHeight="1" x14ac:dyDescent="0.3">
      <c r="T476" s="26"/>
    </row>
    <row r="477" spans="20:20" ht="20.100000000000001" customHeight="1" x14ac:dyDescent="0.3">
      <c r="T477" s="26"/>
    </row>
    <row r="478" spans="20:20" ht="20.100000000000001" customHeight="1" x14ac:dyDescent="0.3">
      <c r="T478" s="26"/>
    </row>
    <row r="479" spans="20:20" ht="20.100000000000001" customHeight="1" x14ac:dyDescent="0.3">
      <c r="T479" s="26"/>
    </row>
    <row r="480" spans="20:20" ht="20.100000000000001" customHeight="1" x14ac:dyDescent="0.3">
      <c r="T480" s="26"/>
    </row>
    <row r="481" spans="20:20" ht="20.100000000000001" customHeight="1" x14ac:dyDescent="0.3">
      <c r="T481" s="26"/>
    </row>
    <row r="482" spans="20:20" ht="20.100000000000001" customHeight="1" x14ac:dyDescent="0.3">
      <c r="T482" s="26"/>
    </row>
    <row r="483" spans="20:20" ht="20.100000000000001" customHeight="1" x14ac:dyDescent="0.3">
      <c r="T483" s="26"/>
    </row>
    <row r="484" spans="20:20" ht="20.100000000000001" customHeight="1" x14ac:dyDescent="0.3">
      <c r="T484" s="26"/>
    </row>
    <row r="485" spans="20:20" ht="20.100000000000001" customHeight="1" x14ac:dyDescent="0.3">
      <c r="T485" s="26"/>
    </row>
    <row r="486" spans="20:20" ht="20.100000000000001" customHeight="1" x14ac:dyDescent="0.3">
      <c r="T486" s="26"/>
    </row>
    <row r="487" spans="20:20" ht="20.100000000000001" customHeight="1" x14ac:dyDescent="0.3">
      <c r="T487" s="26"/>
    </row>
    <row r="488" spans="20:20" ht="20.100000000000001" customHeight="1" x14ac:dyDescent="0.3">
      <c r="T488" s="26"/>
    </row>
    <row r="489" spans="20:20" ht="20.100000000000001" customHeight="1" x14ac:dyDescent="0.3">
      <c r="T489" s="26"/>
    </row>
    <row r="490" spans="20:20" ht="20.100000000000001" customHeight="1" x14ac:dyDescent="0.3">
      <c r="T490" s="26"/>
    </row>
    <row r="491" spans="20:20" ht="20.100000000000001" customHeight="1" x14ac:dyDescent="0.3">
      <c r="T491" s="26"/>
    </row>
    <row r="492" spans="20:20" ht="20.100000000000001" customHeight="1" x14ac:dyDescent="0.3">
      <c r="T492" s="26"/>
    </row>
    <row r="493" spans="20:20" ht="20.100000000000001" customHeight="1" x14ac:dyDescent="0.3">
      <c r="T493" s="26"/>
    </row>
    <row r="494" spans="20:20" ht="20.100000000000001" customHeight="1" x14ac:dyDescent="0.3">
      <c r="T494" s="26"/>
    </row>
    <row r="495" spans="20:20" ht="20.100000000000001" customHeight="1" x14ac:dyDescent="0.3">
      <c r="T495" s="26"/>
    </row>
    <row r="496" spans="20:20" ht="20.100000000000001" customHeight="1" x14ac:dyDescent="0.3">
      <c r="T496" s="26"/>
    </row>
    <row r="497" spans="20:20" ht="20.100000000000001" customHeight="1" x14ac:dyDescent="0.3">
      <c r="T497" s="26"/>
    </row>
    <row r="498" spans="20:20" ht="20.100000000000001" customHeight="1" x14ac:dyDescent="0.3">
      <c r="T498" s="26"/>
    </row>
    <row r="499" spans="20:20" ht="20.100000000000001" customHeight="1" x14ac:dyDescent="0.3">
      <c r="T499" s="26"/>
    </row>
    <row r="500" spans="20:20" ht="20.100000000000001" customHeight="1" x14ac:dyDescent="0.3">
      <c r="T500" s="26"/>
    </row>
    <row r="501" spans="20:20" ht="20.100000000000001" customHeight="1" x14ac:dyDescent="0.3">
      <c r="T501" s="26"/>
    </row>
    <row r="502" spans="20:20" ht="20.100000000000001" customHeight="1" x14ac:dyDescent="0.3">
      <c r="T502" s="26"/>
    </row>
    <row r="503" spans="20:20" ht="20.100000000000001" customHeight="1" x14ac:dyDescent="0.3">
      <c r="T503" s="26"/>
    </row>
    <row r="504" spans="20:20" ht="20.100000000000001" customHeight="1" x14ac:dyDescent="0.3">
      <c r="T504" s="26"/>
    </row>
    <row r="505" spans="20:20" ht="20.100000000000001" customHeight="1" x14ac:dyDescent="0.3">
      <c r="T505" s="26"/>
    </row>
    <row r="506" spans="20:20" ht="20.100000000000001" customHeight="1" x14ac:dyDescent="0.3">
      <c r="T506" s="26"/>
    </row>
    <row r="507" spans="20:20" ht="20.100000000000001" customHeight="1" x14ac:dyDescent="0.3">
      <c r="T507" s="26"/>
    </row>
    <row r="508" spans="20:20" ht="20.100000000000001" customHeight="1" x14ac:dyDescent="0.3">
      <c r="T508" s="26"/>
    </row>
    <row r="509" spans="20:20" ht="20.100000000000001" customHeight="1" x14ac:dyDescent="0.3">
      <c r="T509" s="26"/>
    </row>
    <row r="510" spans="20:20" ht="20.100000000000001" customHeight="1" x14ac:dyDescent="0.3">
      <c r="T510" s="26"/>
    </row>
    <row r="511" spans="20:20" ht="20.100000000000001" customHeight="1" x14ac:dyDescent="0.3">
      <c r="T511" s="26"/>
    </row>
    <row r="512" spans="20:20" ht="20.100000000000001" customHeight="1" x14ac:dyDescent="0.3">
      <c r="T512" s="26"/>
    </row>
    <row r="513" spans="20:20" ht="20.100000000000001" customHeight="1" x14ac:dyDescent="0.3">
      <c r="T513" s="26"/>
    </row>
    <row r="514" spans="20:20" ht="20.100000000000001" customHeight="1" x14ac:dyDescent="0.3">
      <c r="T514" s="26"/>
    </row>
    <row r="515" spans="20:20" ht="20.100000000000001" customHeight="1" x14ac:dyDescent="0.3">
      <c r="T515" s="26"/>
    </row>
    <row r="516" spans="20:20" ht="20.100000000000001" customHeight="1" x14ac:dyDescent="0.3">
      <c r="T516" s="26"/>
    </row>
    <row r="517" spans="20:20" ht="20.100000000000001" customHeight="1" x14ac:dyDescent="0.3">
      <c r="T517" s="26"/>
    </row>
    <row r="518" spans="20:20" ht="20.100000000000001" customHeight="1" x14ac:dyDescent="0.3">
      <c r="T518" s="26"/>
    </row>
    <row r="519" spans="20:20" ht="20.100000000000001" customHeight="1" x14ac:dyDescent="0.3">
      <c r="T519" s="26"/>
    </row>
    <row r="520" spans="20:20" ht="20.100000000000001" customHeight="1" x14ac:dyDescent="0.3">
      <c r="T520" s="26"/>
    </row>
    <row r="521" spans="20:20" ht="20.100000000000001" customHeight="1" x14ac:dyDescent="0.3">
      <c r="T521" s="26"/>
    </row>
    <row r="522" spans="20:20" ht="20.100000000000001" customHeight="1" x14ac:dyDescent="0.3">
      <c r="T522" s="26"/>
    </row>
    <row r="523" spans="20:20" ht="20.100000000000001" customHeight="1" x14ac:dyDescent="0.3">
      <c r="T523" s="26"/>
    </row>
    <row r="524" spans="20:20" ht="20.100000000000001" customHeight="1" x14ac:dyDescent="0.3">
      <c r="T524" s="26"/>
    </row>
    <row r="525" spans="20:20" ht="20.100000000000001" customHeight="1" x14ac:dyDescent="0.3">
      <c r="T525" s="26"/>
    </row>
    <row r="526" spans="20:20" ht="20.100000000000001" customHeight="1" x14ac:dyDescent="0.3">
      <c r="T526" s="26"/>
    </row>
    <row r="527" spans="20:20" ht="20.100000000000001" customHeight="1" x14ac:dyDescent="0.3">
      <c r="T527" s="26"/>
    </row>
    <row r="528" spans="20:20" ht="20.100000000000001" customHeight="1" x14ac:dyDescent="0.3">
      <c r="T528" s="26"/>
    </row>
    <row r="529" spans="20:20" ht="20.100000000000001" customHeight="1" x14ac:dyDescent="0.3">
      <c r="T529" s="26"/>
    </row>
    <row r="530" spans="20:20" ht="20.100000000000001" customHeight="1" x14ac:dyDescent="0.3">
      <c r="T530" s="26"/>
    </row>
    <row r="531" spans="20:20" ht="20.100000000000001" customHeight="1" x14ac:dyDescent="0.3">
      <c r="T531" s="26"/>
    </row>
    <row r="532" spans="20:20" ht="20.100000000000001" customHeight="1" x14ac:dyDescent="0.3">
      <c r="T532" s="26"/>
    </row>
    <row r="533" spans="20:20" ht="20.100000000000001" customHeight="1" x14ac:dyDescent="0.3">
      <c r="T533" s="26"/>
    </row>
    <row r="534" spans="20:20" ht="20.100000000000001" customHeight="1" x14ac:dyDescent="0.3">
      <c r="T534" s="26"/>
    </row>
    <row r="535" spans="20:20" ht="20.100000000000001" customHeight="1" x14ac:dyDescent="0.3">
      <c r="T535" s="26"/>
    </row>
    <row r="536" spans="20:20" ht="20.100000000000001" customHeight="1" x14ac:dyDescent="0.3">
      <c r="T536" s="26"/>
    </row>
    <row r="537" spans="20:20" ht="20.100000000000001" customHeight="1" x14ac:dyDescent="0.3">
      <c r="T537" s="26"/>
    </row>
    <row r="538" spans="20:20" ht="20.100000000000001" customHeight="1" x14ac:dyDescent="0.3">
      <c r="T538" s="26"/>
    </row>
    <row r="539" spans="20:20" ht="20.100000000000001" customHeight="1" x14ac:dyDescent="0.3">
      <c r="T539" s="26"/>
    </row>
    <row r="540" spans="20:20" ht="20.100000000000001" customHeight="1" x14ac:dyDescent="0.3">
      <c r="T540" s="26"/>
    </row>
    <row r="541" spans="20:20" ht="20.100000000000001" customHeight="1" x14ac:dyDescent="0.3">
      <c r="T541" s="26"/>
    </row>
    <row r="542" spans="20:20" ht="20.100000000000001" customHeight="1" x14ac:dyDescent="0.3">
      <c r="T542" s="26"/>
    </row>
    <row r="543" spans="20:20" ht="20.100000000000001" customHeight="1" x14ac:dyDescent="0.3">
      <c r="T543" s="26"/>
    </row>
    <row r="544" spans="20:20" ht="20.100000000000001" customHeight="1" x14ac:dyDescent="0.3">
      <c r="T544" s="26"/>
    </row>
    <row r="545" spans="20:20" ht="20.100000000000001" customHeight="1" x14ac:dyDescent="0.3">
      <c r="T545" s="26"/>
    </row>
    <row r="546" spans="20:20" ht="20.100000000000001" customHeight="1" x14ac:dyDescent="0.3">
      <c r="T546" s="26"/>
    </row>
    <row r="547" spans="20:20" ht="20.100000000000001" customHeight="1" x14ac:dyDescent="0.3">
      <c r="T547" s="26"/>
    </row>
    <row r="548" spans="20:20" ht="20.100000000000001" customHeight="1" x14ac:dyDescent="0.3">
      <c r="T548" s="26"/>
    </row>
    <row r="549" spans="20:20" ht="20.100000000000001" customHeight="1" x14ac:dyDescent="0.3">
      <c r="T549" s="26"/>
    </row>
    <row r="550" spans="20:20" ht="20.100000000000001" customHeight="1" x14ac:dyDescent="0.3">
      <c r="T550" s="26"/>
    </row>
    <row r="551" spans="20:20" ht="20.100000000000001" customHeight="1" x14ac:dyDescent="0.3">
      <c r="T551" s="26"/>
    </row>
    <row r="552" spans="20:20" ht="20.100000000000001" customHeight="1" x14ac:dyDescent="0.3">
      <c r="T552" s="26"/>
    </row>
    <row r="553" spans="20:20" ht="20.100000000000001" customHeight="1" x14ac:dyDescent="0.3">
      <c r="T553" s="26"/>
    </row>
    <row r="554" spans="20:20" ht="20.100000000000001" customHeight="1" x14ac:dyDescent="0.3">
      <c r="T554" s="26"/>
    </row>
    <row r="555" spans="20:20" ht="20.100000000000001" customHeight="1" x14ac:dyDescent="0.3">
      <c r="T555" s="26"/>
    </row>
    <row r="556" spans="20:20" ht="20.100000000000001" customHeight="1" x14ac:dyDescent="0.3">
      <c r="T556" s="26"/>
    </row>
    <row r="557" spans="20:20" ht="20.100000000000001" customHeight="1" x14ac:dyDescent="0.3">
      <c r="T557" s="26"/>
    </row>
    <row r="558" spans="20:20" ht="20.100000000000001" customHeight="1" x14ac:dyDescent="0.3">
      <c r="T558" s="26"/>
    </row>
    <row r="559" spans="20:20" ht="20.100000000000001" customHeight="1" x14ac:dyDescent="0.3">
      <c r="T559" s="26"/>
    </row>
    <row r="560" spans="20:20" ht="20.100000000000001" customHeight="1" x14ac:dyDescent="0.3">
      <c r="T560" s="26"/>
    </row>
    <row r="561" spans="20:20" ht="20.100000000000001" customHeight="1" x14ac:dyDescent="0.3">
      <c r="T561" s="26"/>
    </row>
    <row r="562" spans="20:20" ht="20.100000000000001" customHeight="1" x14ac:dyDescent="0.3">
      <c r="T562" s="26"/>
    </row>
    <row r="563" spans="20:20" ht="20.100000000000001" customHeight="1" x14ac:dyDescent="0.3">
      <c r="T563" s="26"/>
    </row>
    <row r="564" spans="20:20" ht="20.100000000000001" customHeight="1" x14ac:dyDescent="0.3">
      <c r="T564" s="26"/>
    </row>
    <row r="565" spans="20:20" ht="20.100000000000001" customHeight="1" x14ac:dyDescent="0.3">
      <c r="T565" s="26"/>
    </row>
    <row r="566" spans="20:20" ht="20.100000000000001" customHeight="1" x14ac:dyDescent="0.3">
      <c r="T566" s="26"/>
    </row>
    <row r="567" spans="20:20" ht="20.100000000000001" customHeight="1" x14ac:dyDescent="0.3">
      <c r="T567" s="26"/>
    </row>
    <row r="568" spans="20:20" ht="20.100000000000001" customHeight="1" x14ac:dyDescent="0.3">
      <c r="T568" s="26"/>
    </row>
    <row r="569" spans="20:20" ht="20.100000000000001" customHeight="1" x14ac:dyDescent="0.3">
      <c r="T569" s="26"/>
    </row>
    <row r="570" spans="20:20" ht="20.100000000000001" customHeight="1" x14ac:dyDescent="0.3">
      <c r="T570" s="26"/>
    </row>
    <row r="571" spans="20:20" ht="20.100000000000001" customHeight="1" x14ac:dyDescent="0.3">
      <c r="T571" s="26"/>
    </row>
    <row r="572" spans="20:20" ht="20.100000000000001" customHeight="1" x14ac:dyDescent="0.3">
      <c r="T572" s="26"/>
    </row>
    <row r="573" spans="20:20" ht="20.100000000000001" customHeight="1" x14ac:dyDescent="0.3">
      <c r="T573" s="26"/>
    </row>
    <row r="574" spans="20:20" ht="20.100000000000001" customHeight="1" x14ac:dyDescent="0.3">
      <c r="T574" s="26"/>
    </row>
    <row r="575" spans="20:20" ht="20.100000000000001" customHeight="1" x14ac:dyDescent="0.3">
      <c r="T575" s="26"/>
    </row>
    <row r="576" spans="20:20" ht="20.100000000000001" customHeight="1" x14ac:dyDescent="0.3">
      <c r="T576" s="26"/>
    </row>
    <row r="577" spans="20:20" ht="20.100000000000001" customHeight="1" x14ac:dyDescent="0.3">
      <c r="T577" s="26"/>
    </row>
    <row r="578" spans="20:20" ht="20.100000000000001" customHeight="1" x14ac:dyDescent="0.3">
      <c r="T578" s="26"/>
    </row>
    <row r="579" spans="20:20" ht="20.100000000000001" customHeight="1" x14ac:dyDescent="0.3">
      <c r="T579" s="26"/>
    </row>
    <row r="580" spans="20:20" ht="20.100000000000001" customHeight="1" x14ac:dyDescent="0.3">
      <c r="T580" s="26"/>
    </row>
    <row r="581" spans="20:20" ht="20.100000000000001" customHeight="1" x14ac:dyDescent="0.3">
      <c r="T581" s="26"/>
    </row>
    <row r="582" spans="20:20" ht="20.100000000000001" customHeight="1" x14ac:dyDescent="0.3">
      <c r="T582" s="26"/>
    </row>
    <row r="583" spans="20:20" ht="20.100000000000001" customHeight="1" x14ac:dyDescent="0.3">
      <c r="T583" s="26"/>
    </row>
    <row r="584" spans="20:20" ht="20.100000000000001" customHeight="1" x14ac:dyDescent="0.3">
      <c r="T584" s="26"/>
    </row>
    <row r="585" spans="20:20" ht="20.100000000000001" customHeight="1" x14ac:dyDescent="0.3">
      <c r="T585" s="26"/>
    </row>
    <row r="586" spans="20:20" ht="20.100000000000001" customHeight="1" x14ac:dyDescent="0.3">
      <c r="T586" s="26"/>
    </row>
    <row r="587" spans="20:20" ht="20.100000000000001" customHeight="1" x14ac:dyDescent="0.3">
      <c r="T587" s="26"/>
    </row>
    <row r="588" spans="20:20" ht="20.100000000000001" customHeight="1" x14ac:dyDescent="0.3">
      <c r="T588" s="26"/>
    </row>
    <row r="589" spans="20:20" ht="20.100000000000001" customHeight="1" x14ac:dyDescent="0.3">
      <c r="T589" s="26"/>
    </row>
    <row r="590" spans="20:20" ht="20.100000000000001" customHeight="1" x14ac:dyDescent="0.3">
      <c r="T590" s="26"/>
    </row>
    <row r="591" spans="20:20" ht="20.100000000000001" customHeight="1" x14ac:dyDescent="0.3">
      <c r="T591" s="26"/>
    </row>
    <row r="592" spans="20:20" ht="20.100000000000001" customHeight="1" x14ac:dyDescent="0.3">
      <c r="T592" s="26"/>
    </row>
    <row r="593" spans="20:20" ht="20.100000000000001" customHeight="1" x14ac:dyDescent="0.3">
      <c r="T593" s="26"/>
    </row>
    <row r="594" spans="20:20" ht="20.100000000000001" customHeight="1" x14ac:dyDescent="0.3">
      <c r="T594" s="26"/>
    </row>
    <row r="595" spans="20:20" ht="20.100000000000001" customHeight="1" x14ac:dyDescent="0.3">
      <c r="T595" s="26"/>
    </row>
    <row r="596" spans="20:20" ht="20.100000000000001" customHeight="1" x14ac:dyDescent="0.3">
      <c r="T596" s="26"/>
    </row>
    <row r="597" spans="20:20" ht="20.100000000000001" customHeight="1" x14ac:dyDescent="0.3">
      <c r="T597" s="26"/>
    </row>
    <row r="598" spans="20:20" ht="20.100000000000001" customHeight="1" x14ac:dyDescent="0.3">
      <c r="T598" s="26"/>
    </row>
    <row r="599" spans="20:20" ht="20.100000000000001" customHeight="1" x14ac:dyDescent="0.3">
      <c r="T599" s="26"/>
    </row>
    <row r="600" spans="20:20" ht="20.100000000000001" customHeight="1" x14ac:dyDescent="0.3">
      <c r="T600" s="26"/>
    </row>
    <row r="601" spans="20:20" ht="20.100000000000001" customHeight="1" x14ac:dyDescent="0.3">
      <c r="T601" s="26"/>
    </row>
    <row r="602" spans="20:20" ht="20.100000000000001" customHeight="1" x14ac:dyDescent="0.3">
      <c r="T602" s="26"/>
    </row>
    <row r="603" spans="20:20" ht="20.100000000000001" customHeight="1" x14ac:dyDescent="0.3">
      <c r="T603" s="26"/>
    </row>
    <row r="604" spans="20:20" ht="20.100000000000001" customHeight="1" x14ac:dyDescent="0.3">
      <c r="T604" s="26"/>
    </row>
    <row r="605" spans="20:20" ht="20.100000000000001" customHeight="1" x14ac:dyDescent="0.3">
      <c r="T605" s="26"/>
    </row>
    <row r="606" spans="20:20" ht="20.100000000000001" customHeight="1" x14ac:dyDescent="0.3">
      <c r="T606" s="26"/>
    </row>
    <row r="607" spans="20:20" ht="20.100000000000001" customHeight="1" x14ac:dyDescent="0.3">
      <c r="T607" s="26"/>
    </row>
    <row r="608" spans="20:20" ht="20.100000000000001" customHeight="1" x14ac:dyDescent="0.3">
      <c r="T608" s="26"/>
    </row>
    <row r="609" spans="20:20" ht="20.100000000000001" customHeight="1" x14ac:dyDescent="0.3">
      <c r="T609" s="26"/>
    </row>
    <row r="610" spans="20:20" ht="20.100000000000001" customHeight="1" x14ac:dyDescent="0.3">
      <c r="T610" s="26"/>
    </row>
    <row r="611" spans="20:20" ht="20.100000000000001" customHeight="1" x14ac:dyDescent="0.3">
      <c r="T611" s="26"/>
    </row>
    <row r="612" spans="20:20" ht="20.100000000000001" customHeight="1" x14ac:dyDescent="0.3">
      <c r="T612" s="26"/>
    </row>
    <row r="613" spans="20:20" ht="20.100000000000001" customHeight="1" x14ac:dyDescent="0.3">
      <c r="T613" s="26"/>
    </row>
    <row r="614" spans="20:20" ht="20.100000000000001" customHeight="1" x14ac:dyDescent="0.3">
      <c r="T614" s="26"/>
    </row>
    <row r="615" spans="20:20" ht="20.100000000000001" customHeight="1" x14ac:dyDescent="0.3">
      <c r="T615" s="26"/>
    </row>
    <row r="616" spans="20:20" ht="20.100000000000001" customHeight="1" x14ac:dyDescent="0.3">
      <c r="T616" s="26"/>
    </row>
    <row r="617" spans="20:20" ht="20.100000000000001" customHeight="1" x14ac:dyDescent="0.3">
      <c r="T617" s="26"/>
    </row>
    <row r="618" spans="20:20" ht="20.100000000000001" customHeight="1" x14ac:dyDescent="0.3">
      <c r="T618" s="26"/>
    </row>
    <row r="619" spans="20:20" ht="20.100000000000001" customHeight="1" x14ac:dyDescent="0.3">
      <c r="T619" s="26"/>
    </row>
    <row r="620" spans="20:20" ht="20.100000000000001" customHeight="1" x14ac:dyDescent="0.3">
      <c r="T620" s="26"/>
    </row>
    <row r="621" spans="20:20" ht="20.100000000000001" customHeight="1" x14ac:dyDescent="0.3">
      <c r="T621" s="26"/>
    </row>
    <row r="622" spans="20:20" ht="20.100000000000001" customHeight="1" x14ac:dyDescent="0.3">
      <c r="T622" s="26"/>
    </row>
    <row r="623" spans="20:20" ht="20.100000000000001" customHeight="1" x14ac:dyDescent="0.3">
      <c r="T623" s="26"/>
    </row>
    <row r="624" spans="20:20" ht="20.100000000000001" customHeight="1" x14ac:dyDescent="0.3">
      <c r="T624" s="26"/>
    </row>
    <row r="625" spans="20:20" ht="20.100000000000001" customHeight="1" x14ac:dyDescent="0.3">
      <c r="T625" s="26"/>
    </row>
    <row r="626" spans="20:20" ht="20.100000000000001" customHeight="1" x14ac:dyDescent="0.3">
      <c r="T626" s="26"/>
    </row>
    <row r="627" spans="20:20" ht="20.100000000000001" customHeight="1" x14ac:dyDescent="0.3">
      <c r="T627" s="26"/>
    </row>
    <row r="628" spans="20:20" ht="20.100000000000001" customHeight="1" x14ac:dyDescent="0.3">
      <c r="T628" s="26"/>
    </row>
    <row r="629" spans="20:20" ht="20.100000000000001" customHeight="1" x14ac:dyDescent="0.3">
      <c r="T629" s="26"/>
    </row>
    <row r="630" spans="20:20" ht="20.100000000000001" customHeight="1" x14ac:dyDescent="0.3">
      <c r="T630" s="26"/>
    </row>
    <row r="631" spans="20:20" ht="20.100000000000001" customHeight="1" x14ac:dyDescent="0.3">
      <c r="T631" s="26"/>
    </row>
    <row r="632" spans="20:20" ht="20.100000000000001" customHeight="1" x14ac:dyDescent="0.3">
      <c r="T632" s="26"/>
    </row>
    <row r="633" spans="20:20" ht="20.100000000000001" customHeight="1" x14ac:dyDescent="0.3">
      <c r="T633" s="26"/>
    </row>
    <row r="634" spans="20:20" ht="20.100000000000001" customHeight="1" x14ac:dyDescent="0.3">
      <c r="T634" s="26"/>
    </row>
    <row r="635" spans="20:20" ht="20.100000000000001" customHeight="1" x14ac:dyDescent="0.3">
      <c r="T635" s="26"/>
    </row>
    <row r="636" spans="20:20" ht="20.100000000000001" customHeight="1" x14ac:dyDescent="0.3">
      <c r="T636" s="26"/>
    </row>
    <row r="637" spans="20:20" ht="20.100000000000001" customHeight="1" x14ac:dyDescent="0.3">
      <c r="T637" s="26"/>
    </row>
    <row r="638" spans="20:20" ht="20.100000000000001" customHeight="1" x14ac:dyDescent="0.3">
      <c r="T638" s="26"/>
    </row>
    <row r="639" spans="20:20" ht="20.100000000000001" customHeight="1" x14ac:dyDescent="0.3">
      <c r="T639" s="26"/>
    </row>
    <row r="640" spans="20:20" ht="20.100000000000001" customHeight="1" x14ac:dyDescent="0.3">
      <c r="T640" s="26"/>
    </row>
    <row r="641" spans="20:20" ht="20.100000000000001" customHeight="1" x14ac:dyDescent="0.3">
      <c r="T641" s="26"/>
    </row>
    <row r="642" spans="20:20" ht="20.100000000000001" customHeight="1" x14ac:dyDescent="0.3">
      <c r="T642" s="26"/>
    </row>
    <row r="643" spans="20:20" ht="20.100000000000001" customHeight="1" x14ac:dyDescent="0.3">
      <c r="T643" s="26"/>
    </row>
    <row r="644" spans="20:20" ht="20.100000000000001" customHeight="1" x14ac:dyDescent="0.3">
      <c r="T644" s="26"/>
    </row>
    <row r="645" spans="20:20" ht="20.100000000000001" customHeight="1" x14ac:dyDescent="0.3">
      <c r="T645" s="26"/>
    </row>
    <row r="646" spans="20:20" ht="20.100000000000001" customHeight="1" x14ac:dyDescent="0.3">
      <c r="T646" s="26"/>
    </row>
    <row r="647" spans="20:20" ht="20.100000000000001" customHeight="1" x14ac:dyDescent="0.3">
      <c r="T647" s="26"/>
    </row>
    <row r="648" spans="20:20" ht="20.100000000000001" customHeight="1" x14ac:dyDescent="0.3">
      <c r="T648" s="26"/>
    </row>
    <row r="649" spans="20:20" ht="20.100000000000001" customHeight="1" x14ac:dyDescent="0.3">
      <c r="T649" s="26"/>
    </row>
    <row r="650" spans="20:20" ht="20.100000000000001" customHeight="1" x14ac:dyDescent="0.3">
      <c r="T650" s="26"/>
    </row>
    <row r="651" spans="20:20" ht="20.100000000000001" customHeight="1" x14ac:dyDescent="0.3">
      <c r="T651" s="26"/>
    </row>
    <row r="652" spans="20:20" ht="20.100000000000001" customHeight="1" x14ac:dyDescent="0.3">
      <c r="T652" s="26"/>
    </row>
    <row r="653" spans="20:20" ht="20.100000000000001" customHeight="1" x14ac:dyDescent="0.3">
      <c r="T653" s="26"/>
    </row>
    <row r="654" spans="20:20" ht="20.100000000000001" customHeight="1" x14ac:dyDescent="0.3">
      <c r="T654" s="26"/>
    </row>
    <row r="655" spans="20:20" ht="20.100000000000001" customHeight="1" x14ac:dyDescent="0.3">
      <c r="T655" s="26"/>
    </row>
    <row r="656" spans="20:20" ht="20.100000000000001" customHeight="1" x14ac:dyDescent="0.3">
      <c r="T656" s="26"/>
    </row>
    <row r="657" spans="20:20" ht="20.100000000000001" customHeight="1" x14ac:dyDescent="0.3">
      <c r="T657" s="26"/>
    </row>
    <row r="658" spans="20:20" ht="20.100000000000001" customHeight="1" x14ac:dyDescent="0.3">
      <c r="T658" s="26"/>
    </row>
    <row r="659" spans="20:20" ht="20.100000000000001" customHeight="1" x14ac:dyDescent="0.3">
      <c r="T659" s="26"/>
    </row>
    <row r="660" spans="20:20" ht="20.100000000000001" customHeight="1" x14ac:dyDescent="0.3">
      <c r="T660" s="26"/>
    </row>
    <row r="661" spans="20:20" ht="20.100000000000001" customHeight="1" x14ac:dyDescent="0.3">
      <c r="T661" s="26"/>
    </row>
    <row r="662" spans="20:20" ht="20.100000000000001" customHeight="1" x14ac:dyDescent="0.3">
      <c r="T662" s="26"/>
    </row>
    <row r="663" spans="20:20" ht="20.100000000000001" customHeight="1" x14ac:dyDescent="0.3">
      <c r="T663" s="26"/>
    </row>
    <row r="664" spans="20:20" ht="20.100000000000001" customHeight="1" x14ac:dyDescent="0.3">
      <c r="T664" s="26"/>
    </row>
    <row r="665" spans="20:20" ht="20.100000000000001" customHeight="1" x14ac:dyDescent="0.3">
      <c r="T665" s="26"/>
    </row>
    <row r="666" spans="20:20" ht="20.100000000000001" customHeight="1" x14ac:dyDescent="0.3">
      <c r="T666" s="26"/>
    </row>
    <row r="667" spans="20:20" ht="20.100000000000001" customHeight="1" x14ac:dyDescent="0.3">
      <c r="T667" s="26"/>
    </row>
    <row r="668" spans="20:20" ht="20.100000000000001" customHeight="1" x14ac:dyDescent="0.3">
      <c r="T668" s="26"/>
    </row>
    <row r="669" spans="20:20" ht="20.100000000000001" customHeight="1" x14ac:dyDescent="0.3">
      <c r="T669" s="26"/>
    </row>
    <row r="670" spans="20:20" ht="20.100000000000001" customHeight="1" x14ac:dyDescent="0.3">
      <c r="T670" s="26"/>
    </row>
    <row r="671" spans="20:20" ht="20.100000000000001" customHeight="1" x14ac:dyDescent="0.3">
      <c r="T671" s="26"/>
    </row>
    <row r="672" spans="20:20" ht="20.100000000000001" customHeight="1" x14ac:dyDescent="0.3">
      <c r="T672" s="26"/>
    </row>
    <row r="673" spans="20:20" ht="20.100000000000001" customHeight="1" x14ac:dyDescent="0.3">
      <c r="T673" s="26"/>
    </row>
    <row r="674" spans="20:20" ht="20.100000000000001" customHeight="1" x14ac:dyDescent="0.3">
      <c r="T674" s="26"/>
    </row>
    <row r="675" spans="20:20" ht="20.100000000000001" customHeight="1" x14ac:dyDescent="0.3">
      <c r="T675" s="26"/>
    </row>
    <row r="676" spans="20:20" ht="20.100000000000001" customHeight="1" x14ac:dyDescent="0.3">
      <c r="T676" s="26"/>
    </row>
    <row r="677" spans="20:20" ht="20.100000000000001" customHeight="1" x14ac:dyDescent="0.3">
      <c r="T677" s="26"/>
    </row>
    <row r="678" spans="20:20" ht="20.100000000000001" customHeight="1" x14ac:dyDescent="0.3">
      <c r="T678" s="26"/>
    </row>
    <row r="679" spans="20:20" ht="20.100000000000001" customHeight="1" x14ac:dyDescent="0.3">
      <c r="T679" s="26"/>
    </row>
    <row r="680" spans="20:20" ht="20.100000000000001" customHeight="1" x14ac:dyDescent="0.3">
      <c r="T680" s="26"/>
    </row>
    <row r="681" spans="20:20" ht="20.100000000000001" customHeight="1" x14ac:dyDescent="0.3">
      <c r="T681" s="26"/>
    </row>
    <row r="682" spans="20:20" ht="20.100000000000001" customHeight="1" x14ac:dyDescent="0.3">
      <c r="T682" s="26"/>
    </row>
    <row r="683" spans="20:20" ht="20.100000000000001" customHeight="1" x14ac:dyDescent="0.3">
      <c r="T683" s="26"/>
    </row>
    <row r="684" spans="20:20" ht="20.100000000000001" customHeight="1" x14ac:dyDescent="0.3">
      <c r="T684" s="26"/>
    </row>
    <row r="685" spans="20:20" ht="20.100000000000001" customHeight="1" x14ac:dyDescent="0.3">
      <c r="T685" s="26"/>
    </row>
    <row r="686" spans="20:20" ht="20.100000000000001" customHeight="1" x14ac:dyDescent="0.3">
      <c r="T686" s="26"/>
    </row>
    <row r="687" spans="20:20" ht="20.100000000000001" customHeight="1" x14ac:dyDescent="0.3">
      <c r="T687" s="26"/>
    </row>
    <row r="688" spans="20:20" ht="20.100000000000001" customHeight="1" x14ac:dyDescent="0.3">
      <c r="T688" s="26"/>
    </row>
    <row r="689" spans="20:20" ht="20.100000000000001" customHeight="1" x14ac:dyDescent="0.3">
      <c r="T689" s="26"/>
    </row>
    <row r="690" spans="20:20" ht="20.100000000000001" customHeight="1" x14ac:dyDescent="0.3">
      <c r="T690" s="26"/>
    </row>
    <row r="691" spans="20:20" ht="20.100000000000001" customHeight="1" x14ac:dyDescent="0.3">
      <c r="T691" s="26"/>
    </row>
    <row r="692" spans="20:20" ht="20.100000000000001" customHeight="1" x14ac:dyDescent="0.3">
      <c r="T692" s="26"/>
    </row>
    <row r="693" spans="20:20" ht="20.100000000000001" customHeight="1" x14ac:dyDescent="0.3">
      <c r="T693" s="26"/>
    </row>
    <row r="694" spans="20:20" ht="20.100000000000001" customHeight="1" x14ac:dyDescent="0.3">
      <c r="T694" s="26"/>
    </row>
    <row r="695" spans="20:20" ht="20.100000000000001" customHeight="1" x14ac:dyDescent="0.3">
      <c r="T695" s="26"/>
    </row>
    <row r="696" spans="20:20" ht="20.100000000000001" customHeight="1" x14ac:dyDescent="0.3">
      <c r="T696" s="26"/>
    </row>
    <row r="697" spans="20:20" ht="20.100000000000001" customHeight="1" x14ac:dyDescent="0.3">
      <c r="T697" s="26"/>
    </row>
    <row r="698" spans="20:20" ht="20.100000000000001" customHeight="1" x14ac:dyDescent="0.3">
      <c r="T698" s="26"/>
    </row>
    <row r="699" spans="20:20" ht="20.100000000000001" customHeight="1" x14ac:dyDescent="0.3">
      <c r="T699" s="26"/>
    </row>
    <row r="700" spans="20:20" ht="20.100000000000001" customHeight="1" x14ac:dyDescent="0.3">
      <c r="T700" s="26"/>
    </row>
    <row r="701" spans="20:20" ht="20.100000000000001" customHeight="1" x14ac:dyDescent="0.3">
      <c r="T701" s="26"/>
    </row>
    <row r="702" spans="20:20" ht="20.100000000000001" customHeight="1" x14ac:dyDescent="0.3">
      <c r="T702" s="26"/>
    </row>
    <row r="703" spans="20:20" ht="20.100000000000001" customHeight="1" x14ac:dyDescent="0.3">
      <c r="T703" s="26"/>
    </row>
    <row r="704" spans="20:20" ht="20.100000000000001" customHeight="1" x14ac:dyDescent="0.3">
      <c r="T704" s="26"/>
    </row>
    <row r="705" spans="20:20" ht="20.100000000000001" customHeight="1" x14ac:dyDescent="0.3">
      <c r="T705" s="26"/>
    </row>
    <row r="706" spans="20:20" ht="20.100000000000001" customHeight="1" x14ac:dyDescent="0.3">
      <c r="T706" s="26"/>
    </row>
    <row r="707" spans="20:20" ht="20.100000000000001" customHeight="1" x14ac:dyDescent="0.3">
      <c r="T707" s="26"/>
    </row>
    <row r="708" spans="20:20" ht="20.100000000000001" customHeight="1" x14ac:dyDescent="0.3">
      <c r="T708" s="26"/>
    </row>
    <row r="709" spans="20:20" ht="20.100000000000001" customHeight="1" x14ac:dyDescent="0.3">
      <c r="T709" s="26"/>
    </row>
    <row r="710" spans="20:20" ht="20.100000000000001" customHeight="1" x14ac:dyDescent="0.3">
      <c r="T710" s="26"/>
    </row>
    <row r="711" spans="20:20" ht="20.100000000000001" customHeight="1" x14ac:dyDescent="0.3">
      <c r="T711" s="26"/>
    </row>
    <row r="712" spans="20:20" ht="20.100000000000001" customHeight="1" x14ac:dyDescent="0.3">
      <c r="T712" s="26"/>
    </row>
    <row r="713" spans="20:20" ht="20.100000000000001" customHeight="1" x14ac:dyDescent="0.3">
      <c r="T713" s="26"/>
    </row>
    <row r="714" spans="20:20" ht="20.100000000000001" customHeight="1" x14ac:dyDescent="0.3">
      <c r="T714" s="26"/>
    </row>
    <row r="715" spans="20:20" ht="20.100000000000001" customHeight="1" x14ac:dyDescent="0.3">
      <c r="T715" s="26"/>
    </row>
    <row r="716" spans="20:20" ht="20.100000000000001" customHeight="1" x14ac:dyDescent="0.3">
      <c r="T716" s="26"/>
    </row>
    <row r="717" spans="20:20" ht="20.100000000000001" customHeight="1" x14ac:dyDescent="0.3">
      <c r="T717" s="26"/>
    </row>
    <row r="718" spans="20:20" ht="20.100000000000001" customHeight="1" x14ac:dyDescent="0.3">
      <c r="T718" s="26"/>
    </row>
    <row r="719" spans="20:20" ht="20.100000000000001" customHeight="1" x14ac:dyDescent="0.3">
      <c r="T719" s="26"/>
    </row>
    <row r="720" spans="20:20" ht="20.100000000000001" customHeight="1" x14ac:dyDescent="0.3">
      <c r="T720" s="26"/>
    </row>
    <row r="721" spans="20:20" ht="20.100000000000001" customHeight="1" x14ac:dyDescent="0.3">
      <c r="T721" s="26"/>
    </row>
    <row r="722" spans="20:20" ht="20.100000000000001" customHeight="1" x14ac:dyDescent="0.3">
      <c r="T722" s="26"/>
    </row>
    <row r="723" spans="20:20" ht="20.100000000000001" customHeight="1" x14ac:dyDescent="0.3">
      <c r="T723" s="26"/>
    </row>
    <row r="724" spans="20:20" ht="20.100000000000001" customHeight="1" x14ac:dyDescent="0.3">
      <c r="T724" s="26"/>
    </row>
    <row r="725" spans="20:20" ht="20.100000000000001" customHeight="1" x14ac:dyDescent="0.3">
      <c r="T725" s="26"/>
    </row>
    <row r="726" spans="20:20" ht="20.100000000000001" customHeight="1" x14ac:dyDescent="0.3">
      <c r="T726" s="26"/>
    </row>
    <row r="727" spans="20:20" ht="20.100000000000001" customHeight="1" x14ac:dyDescent="0.3">
      <c r="T727" s="26"/>
    </row>
    <row r="728" spans="20:20" ht="20.100000000000001" customHeight="1" x14ac:dyDescent="0.3">
      <c r="T728" s="26"/>
    </row>
    <row r="729" spans="20:20" ht="20.100000000000001" customHeight="1" x14ac:dyDescent="0.3">
      <c r="T729" s="26"/>
    </row>
    <row r="730" spans="20:20" ht="20.100000000000001" customHeight="1" x14ac:dyDescent="0.3">
      <c r="T730" s="26"/>
    </row>
    <row r="731" spans="20:20" ht="20.100000000000001" customHeight="1" x14ac:dyDescent="0.3">
      <c r="T731" s="26"/>
    </row>
    <row r="732" spans="20:20" ht="20.100000000000001" customHeight="1" x14ac:dyDescent="0.3">
      <c r="T732" s="26"/>
    </row>
    <row r="733" spans="20:20" ht="20.100000000000001" customHeight="1" x14ac:dyDescent="0.3">
      <c r="T733" s="26"/>
    </row>
    <row r="734" spans="20:20" ht="20.100000000000001" customHeight="1" x14ac:dyDescent="0.3">
      <c r="T734" s="26"/>
    </row>
    <row r="735" spans="20:20" ht="20.100000000000001" customHeight="1" x14ac:dyDescent="0.3">
      <c r="T735" s="26"/>
    </row>
    <row r="736" spans="20:20" ht="20.100000000000001" customHeight="1" x14ac:dyDescent="0.3">
      <c r="T736" s="26"/>
    </row>
    <row r="737" spans="20:20" ht="20.100000000000001" customHeight="1" x14ac:dyDescent="0.3">
      <c r="T737" s="26"/>
    </row>
    <row r="738" spans="20:20" ht="20.100000000000001" customHeight="1" x14ac:dyDescent="0.3">
      <c r="T738" s="26"/>
    </row>
    <row r="739" spans="20:20" ht="20.100000000000001" customHeight="1" x14ac:dyDescent="0.3">
      <c r="T739" s="26"/>
    </row>
    <row r="740" spans="20:20" ht="20.100000000000001" customHeight="1" x14ac:dyDescent="0.3">
      <c r="T740" s="26"/>
    </row>
    <row r="741" spans="20:20" ht="20.100000000000001" customHeight="1" x14ac:dyDescent="0.3">
      <c r="T741" s="26"/>
    </row>
    <row r="742" spans="20:20" ht="20.100000000000001" customHeight="1" x14ac:dyDescent="0.3">
      <c r="T742" s="26"/>
    </row>
    <row r="743" spans="20:20" ht="20.100000000000001" customHeight="1" x14ac:dyDescent="0.3">
      <c r="T743" s="26"/>
    </row>
    <row r="744" spans="20:20" ht="20.100000000000001" customHeight="1" x14ac:dyDescent="0.3">
      <c r="T744" s="26"/>
    </row>
    <row r="745" spans="20:20" ht="20.100000000000001" customHeight="1" x14ac:dyDescent="0.3">
      <c r="T745" s="26"/>
    </row>
    <row r="746" spans="20:20" ht="20.100000000000001" customHeight="1" x14ac:dyDescent="0.3">
      <c r="T746" s="26"/>
    </row>
    <row r="747" spans="20:20" ht="20.100000000000001" customHeight="1" x14ac:dyDescent="0.3">
      <c r="T747" s="26"/>
    </row>
    <row r="748" spans="20:20" ht="20.100000000000001" customHeight="1" x14ac:dyDescent="0.3">
      <c r="T748" s="26"/>
    </row>
    <row r="749" spans="20:20" ht="20.100000000000001" customHeight="1" x14ac:dyDescent="0.3">
      <c r="T749" s="26"/>
    </row>
    <row r="750" spans="20:20" ht="20.100000000000001" customHeight="1" x14ac:dyDescent="0.3">
      <c r="T750" s="26"/>
    </row>
    <row r="751" spans="20:20" ht="20.100000000000001" customHeight="1" x14ac:dyDescent="0.3">
      <c r="T751" s="26"/>
    </row>
    <row r="752" spans="20:20" ht="20.100000000000001" customHeight="1" x14ac:dyDescent="0.3">
      <c r="T752" s="26"/>
    </row>
    <row r="753" spans="20:20" ht="20.100000000000001" customHeight="1" x14ac:dyDescent="0.3">
      <c r="T753" s="26"/>
    </row>
    <row r="754" spans="20:20" ht="20.100000000000001" customHeight="1" x14ac:dyDescent="0.3">
      <c r="T754" s="26"/>
    </row>
    <row r="755" spans="20:20" ht="20.100000000000001" customHeight="1" x14ac:dyDescent="0.3">
      <c r="T755" s="26"/>
    </row>
    <row r="756" spans="20:20" ht="20.100000000000001" customHeight="1" x14ac:dyDescent="0.3">
      <c r="T756" s="26"/>
    </row>
    <row r="757" spans="20:20" ht="20.100000000000001" customHeight="1" x14ac:dyDescent="0.3">
      <c r="T757" s="26"/>
    </row>
    <row r="758" spans="20:20" ht="20.100000000000001" customHeight="1" x14ac:dyDescent="0.3">
      <c r="T758" s="26"/>
    </row>
    <row r="759" spans="20:20" ht="20.100000000000001" customHeight="1" x14ac:dyDescent="0.3">
      <c r="T759" s="26"/>
    </row>
    <row r="760" spans="20:20" ht="20.100000000000001" customHeight="1" x14ac:dyDescent="0.3">
      <c r="T760" s="26"/>
    </row>
    <row r="761" spans="20:20" ht="20.100000000000001" customHeight="1" x14ac:dyDescent="0.3">
      <c r="T761" s="26"/>
    </row>
    <row r="762" spans="20:20" ht="20.100000000000001" customHeight="1" x14ac:dyDescent="0.3">
      <c r="T762" s="26"/>
    </row>
    <row r="763" spans="20:20" ht="20.100000000000001" customHeight="1" x14ac:dyDescent="0.3">
      <c r="T763" s="26"/>
    </row>
    <row r="764" spans="20:20" ht="20.100000000000001" customHeight="1" x14ac:dyDescent="0.3">
      <c r="T764" s="26"/>
    </row>
    <row r="765" spans="20:20" ht="20.100000000000001" customHeight="1" x14ac:dyDescent="0.3">
      <c r="T765" s="26"/>
    </row>
    <row r="766" spans="20:20" ht="20.100000000000001" customHeight="1" x14ac:dyDescent="0.3">
      <c r="T766" s="26"/>
    </row>
    <row r="767" spans="20:20" ht="20.100000000000001" customHeight="1" x14ac:dyDescent="0.3">
      <c r="T767" s="26"/>
    </row>
    <row r="768" spans="20:20" ht="20.100000000000001" customHeight="1" x14ac:dyDescent="0.3">
      <c r="T768" s="26"/>
    </row>
    <row r="769" spans="20:20" ht="20.100000000000001" customHeight="1" x14ac:dyDescent="0.3">
      <c r="T769" s="26"/>
    </row>
    <row r="770" spans="20:20" ht="20.100000000000001" customHeight="1" x14ac:dyDescent="0.3">
      <c r="T770" s="26"/>
    </row>
    <row r="771" spans="20:20" ht="20.100000000000001" customHeight="1" x14ac:dyDescent="0.3">
      <c r="T771" s="26"/>
    </row>
    <row r="772" spans="20:20" ht="20.100000000000001" customHeight="1" x14ac:dyDescent="0.3">
      <c r="T772" s="26"/>
    </row>
    <row r="773" spans="20:20" ht="20.100000000000001" customHeight="1" x14ac:dyDescent="0.3">
      <c r="T773" s="26"/>
    </row>
    <row r="774" spans="20:20" ht="20.100000000000001" customHeight="1" x14ac:dyDescent="0.3">
      <c r="T774" s="26"/>
    </row>
    <row r="775" spans="20:20" ht="20.100000000000001" customHeight="1" x14ac:dyDescent="0.3">
      <c r="T775" s="26"/>
    </row>
    <row r="776" spans="20:20" ht="20.100000000000001" customHeight="1" x14ac:dyDescent="0.3">
      <c r="T776" s="26"/>
    </row>
    <row r="777" spans="20:20" ht="20.100000000000001" customHeight="1" x14ac:dyDescent="0.3">
      <c r="T777" s="26"/>
    </row>
    <row r="778" spans="20:20" ht="20.100000000000001" customHeight="1" x14ac:dyDescent="0.3">
      <c r="T778" s="26"/>
    </row>
    <row r="779" spans="20:20" ht="20.100000000000001" customHeight="1" x14ac:dyDescent="0.3">
      <c r="T779" s="26"/>
    </row>
    <row r="780" spans="20:20" ht="20.100000000000001" customHeight="1" x14ac:dyDescent="0.3">
      <c r="T780" s="26"/>
    </row>
    <row r="781" spans="20:20" ht="20.100000000000001" customHeight="1" x14ac:dyDescent="0.3">
      <c r="T781" s="26"/>
    </row>
    <row r="782" spans="20:20" ht="20.100000000000001" customHeight="1" x14ac:dyDescent="0.3">
      <c r="T782" s="26"/>
    </row>
    <row r="783" spans="20:20" ht="20.100000000000001" customHeight="1" x14ac:dyDescent="0.3">
      <c r="T783" s="26"/>
    </row>
    <row r="784" spans="20:20" ht="20.100000000000001" customHeight="1" x14ac:dyDescent="0.3">
      <c r="T784" s="26"/>
    </row>
    <row r="785" spans="20:20" ht="20.100000000000001" customHeight="1" x14ac:dyDescent="0.3">
      <c r="T785" s="26"/>
    </row>
    <row r="786" spans="20:20" ht="20.100000000000001" customHeight="1" x14ac:dyDescent="0.3">
      <c r="T786" s="26"/>
    </row>
    <row r="787" spans="20:20" ht="20.100000000000001" customHeight="1" x14ac:dyDescent="0.3">
      <c r="T787" s="26"/>
    </row>
    <row r="788" spans="20:20" ht="20.100000000000001" customHeight="1" x14ac:dyDescent="0.3">
      <c r="T788" s="26"/>
    </row>
    <row r="789" spans="20:20" ht="20.100000000000001" customHeight="1" x14ac:dyDescent="0.3">
      <c r="T789" s="26"/>
    </row>
    <row r="790" spans="20:20" ht="20.100000000000001" customHeight="1" x14ac:dyDescent="0.3">
      <c r="T790" s="26"/>
    </row>
    <row r="791" spans="20:20" ht="20.100000000000001" customHeight="1" x14ac:dyDescent="0.3">
      <c r="T791" s="26"/>
    </row>
    <row r="792" spans="20:20" ht="20.100000000000001" customHeight="1" x14ac:dyDescent="0.3">
      <c r="T792" s="26"/>
    </row>
    <row r="793" spans="20:20" ht="20.100000000000001" customHeight="1" x14ac:dyDescent="0.3">
      <c r="T793" s="26"/>
    </row>
    <row r="794" spans="20:20" ht="20.100000000000001" customHeight="1" x14ac:dyDescent="0.3">
      <c r="T794" s="26"/>
    </row>
    <row r="795" spans="20:20" ht="20.100000000000001" customHeight="1" x14ac:dyDescent="0.3">
      <c r="T795" s="26"/>
    </row>
    <row r="796" spans="20:20" ht="20.100000000000001" customHeight="1" x14ac:dyDescent="0.3">
      <c r="T796" s="26"/>
    </row>
    <row r="797" spans="20:20" ht="20.100000000000001" customHeight="1" x14ac:dyDescent="0.3">
      <c r="T797" s="26"/>
    </row>
    <row r="798" spans="20:20" ht="20.100000000000001" customHeight="1" x14ac:dyDescent="0.3">
      <c r="T798" s="26"/>
    </row>
    <row r="799" spans="20:20" ht="20.100000000000001" customHeight="1" x14ac:dyDescent="0.3">
      <c r="T799" s="26"/>
    </row>
    <row r="800" spans="20:20" ht="20.100000000000001" customHeight="1" x14ac:dyDescent="0.3">
      <c r="T800" s="26"/>
    </row>
    <row r="801" spans="20:20" ht="20.100000000000001" customHeight="1" x14ac:dyDescent="0.3">
      <c r="T801" s="26"/>
    </row>
    <row r="802" spans="20:20" ht="20.100000000000001" customHeight="1" x14ac:dyDescent="0.3">
      <c r="T802" s="26"/>
    </row>
    <row r="803" spans="20:20" ht="20.100000000000001" customHeight="1" x14ac:dyDescent="0.3">
      <c r="T803" s="26"/>
    </row>
    <row r="804" spans="20:20" ht="20.100000000000001" customHeight="1" x14ac:dyDescent="0.3">
      <c r="T804" s="26"/>
    </row>
    <row r="805" spans="20:20" ht="20.100000000000001" customHeight="1" x14ac:dyDescent="0.3">
      <c r="T805" s="26"/>
    </row>
    <row r="806" spans="20:20" ht="20.100000000000001" customHeight="1" x14ac:dyDescent="0.3">
      <c r="T806" s="26"/>
    </row>
    <row r="807" spans="20:20" ht="20.100000000000001" customHeight="1" x14ac:dyDescent="0.3">
      <c r="T807" s="26"/>
    </row>
    <row r="808" spans="20:20" ht="20.100000000000001" customHeight="1" x14ac:dyDescent="0.3">
      <c r="T808" s="26"/>
    </row>
    <row r="809" spans="20:20" ht="20.100000000000001" customHeight="1" x14ac:dyDescent="0.3">
      <c r="T809" s="26"/>
    </row>
    <row r="810" spans="20:20" ht="20.100000000000001" customHeight="1" x14ac:dyDescent="0.3">
      <c r="T810" s="26"/>
    </row>
    <row r="811" spans="20:20" ht="20.100000000000001" customHeight="1" x14ac:dyDescent="0.3">
      <c r="T811" s="26"/>
    </row>
    <row r="812" spans="20:20" ht="20.100000000000001" customHeight="1" x14ac:dyDescent="0.3">
      <c r="T812" s="26"/>
    </row>
    <row r="813" spans="20:20" ht="20.100000000000001" customHeight="1" x14ac:dyDescent="0.3">
      <c r="T813" s="26"/>
    </row>
    <row r="814" spans="20:20" ht="20.100000000000001" customHeight="1" x14ac:dyDescent="0.3">
      <c r="T814" s="26"/>
    </row>
    <row r="815" spans="20:20" ht="20.100000000000001" customHeight="1" x14ac:dyDescent="0.3">
      <c r="T815" s="26"/>
    </row>
    <row r="816" spans="20:20" ht="20.100000000000001" customHeight="1" x14ac:dyDescent="0.3">
      <c r="T816" s="26"/>
    </row>
    <row r="817" spans="20:20" ht="20.100000000000001" customHeight="1" x14ac:dyDescent="0.3">
      <c r="T817" s="26"/>
    </row>
    <row r="818" spans="20:20" ht="20.100000000000001" customHeight="1" x14ac:dyDescent="0.3">
      <c r="T818" s="26"/>
    </row>
    <row r="819" spans="20:20" ht="20.100000000000001" customHeight="1" x14ac:dyDescent="0.3">
      <c r="T819" s="26"/>
    </row>
    <row r="820" spans="20:20" ht="20.100000000000001" customHeight="1" x14ac:dyDescent="0.3">
      <c r="T820" s="26"/>
    </row>
    <row r="821" spans="20:20" ht="20.100000000000001" customHeight="1" x14ac:dyDescent="0.3">
      <c r="T821" s="26"/>
    </row>
    <row r="822" spans="20:20" ht="20.100000000000001" customHeight="1" x14ac:dyDescent="0.3">
      <c r="T822" s="26"/>
    </row>
    <row r="823" spans="20:20" ht="20.100000000000001" customHeight="1" x14ac:dyDescent="0.3">
      <c r="T823" s="26"/>
    </row>
    <row r="824" spans="20:20" ht="20.100000000000001" customHeight="1" x14ac:dyDescent="0.3">
      <c r="T824" s="26"/>
    </row>
    <row r="825" spans="20:20" ht="20.100000000000001" customHeight="1" x14ac:dyDescent="0.3">
      <c r="T825" s="26"/>
    </row>
    <row r="826" spans="20:20" ht="20.100000000000001" customHeight="1" x14ac:dyDescent="0.3">
      <c r="T826" s="26"/>
    </row>
    <row r="827" spans="20:20" ht="20.100000000000001" customHeight="1" x14ac:dyDescent="0.3">
      <c r="T827" s="26"/>
    </row>
    <row r="828" spans="20:20" ht="20.100000000000001" customHeight="1" x14ac:dyDescent="0.3">
      <c r="T828" s="26"/>
    </row>
    <row r="829" spans="20:20" ht="20.100000000000001" customHeight="1" x14ac:dyDescent="0.3">
      <c r="T829" s="26"/>
    </row>
    <row r="830" spans="20:20" ht="20.100000000000001" customHeight="1" x14ac:dyDescent="0.3">
      <c r="T830" s="26"/>
    </row>
    <row r="831" spans="20:20" ht="20.100000000000001" customHeight="1" x14ac:dyDescent="0.3">
      <c r="T831" s="26"/>
    </row>
    <row r="832" spans="20:20" ht="20.100000000000001" customHeight="1" x14ac:dyDescent="0.3">
      <c r="T832" s="26"/>
    </row>
    <row r="833" spans="20:20" ht="20.100000000000001" customHeight="1" x14ac:dyDescent="0.3">
      <c r="T833" s="26"/>
    </row>
    <row r="834" spans="20:20" ht="20.100000000000001" customHeight="1" x14ac:dyDescent="0.3">
      <c r="T834" s="26"/>
    </row>
    <row r="835" spans="20:20" ht="20.100000000000001" customHeight="1" x14ac:dyDescent="0.3">
      <c r="T835" s="26"/>
    </row>
    <row r="836" spans="20:20" ht="20.100000000000001" customHeight="1" x14ac:dyDescent="0.3">
      <c r="T836" s="26"/>
    </row>
    <row r="837" spans="20:20" ht="20.100000000000001" customHeight="1" x14ac:dyDescent="0.3">
      <c r="T837" s="26"/>
    </row>
    <row r="838" spans="20:20" ht="20.100000000000001" customHeight="1" x14ac:dyDescent="0.3">
      <c r="T838" s="26"/>
    </row>
    <row r="839" spans="20:20" ht="20.100000000000001" customHeight="1" x14ac:dyDescent="0.3">
      <c r="T839" s="26"/>
    </row>
    <row r="840" spans="20:20" ht="20.100000000000001" customHeight="1" x14ac:dyDescent="0.3">
      <c r="T840" s="26"/>
    </row>
    <row r="841" spans="20:20" ht="20.100000000000001" customHeight="1" x14ac:dyDescent="0.3">
      <c r="T841" s="26"/>
    </row>
    <row r="842" spans="20:20" ht="20.100000000000001" customHeight="1" x14ac:dyDescent="0.3">
      <c r="T842" s="26"/>
    </row>
    <row r="843" spans="20:20" ht="20.100000000000001" customHeight="1" x14ac:dyDescent="0.3">
      <c r="T843" s="26"/>
    </row>
    <row r="844" spans="20:20" ht="20.100000000000001" customHeight="1" x14ac:dyDescent="0.3">
      <c r="T844" s="26"/>
    </row>
    <row r="845" spans="20:20" ht="20.100000000000001" customHeight="1" x14ac:dyDescent="0.3">
      <c r="T845" s="26"/>
    </row>
    <row r="846" spans="20:20" ht="20.100000000000001" customHeight="1" x14ac:dyDescent="0.3">
      <c r="T846" s="26"/>
    </row>
    <row r="847" spans="20:20" ht="20.100000000000001" customHeight="1" x14ac:dyDescent="0.3">
      <c r="T847" s="26"/>
    </row>
    <row r="848" spans="20:20" ht="20.100000000000001" customHeight="1" x14ac:dyDescent="0.3">
      <c r="T848" s="26"/>
    </row>
    <row r="849" spans="20:20" ht="20.100000000000001" customHeight="1" x14ac:dyDescent="0.3">
      <c r="T849" s="26"/>
    </row>
    <row r="850" spans="20:20" ht="20.100000000000001" customHeight="1" x14ac:dyDescent="0.3">
      <c r="T850" s="26"/>
    </row>
    <row r="851" spans="20:20" ht="20.100000000000001" customHeight="1" x14ac:dyDescent="0.3">
      <c r="T851" s="26"/>
    </row>
    <row r="852" spans="20:20" ht="20.100000000000001" customHeight="1" x14ac:dyDescent="0.3">
      <c r="T852" s="26"/>
    </row>
    <row r="853" spans="20:20" ht="20.100000000000001" customHeight="1" x14ac:dyDescent="0.3">
      <c r="T853" s="26"/>
    </row>
    <row r="854" spans="20:20" ht="20.100000000000001" customHeight="1" x14ac:dyDescent="0.3">
      <c r="T854" s="26"/>
    </row>
    <row r="855" spans="20:20" ht="20.100000000000001" customHeight="1" x14ac:dyDescent="0.3">
      <c r="T855" s="26"/>
    </row>
    <row r="856" spans="20:20" ht="20.100000000000001" customHeight="1" x14ac:dyDescent="0.3">
      <c r="T856" s="26"/>
    </row>
    <row r="857" spans="20:20" ht="20.100000000000001" customHeight="1" x14ac:dyDescent="0.3">
      <c r="T857" s="26"/>
    </row>
    <row r="858" spans="20:20" ht="20.100000000000001" customHeight="1" x14ac:dyDescent="0.3">
      <c r="T858" s="26"/>
    </row>
    <row r="859" spans="20:20" ht="20.100000000000001" customHeight="1" x14ac:dyDescent="0.3">
      <c r="T859" s="26"/>
    </row>
    <row r="860" spans="20:20" ht="20.100000000000001" customHeight="1" x14ac:dyDescent="0.3">
      <c r="T860" s="26"/>
    </row>
    <row r="861" spans="20:20" ht="20.100000000000001" customHeight="1" x14ac:dyDescent="0.3">
      <c r="T861" s="26"/>
    </row>
    <row r="862" spans="20:20" ht="20.100000000000001" customHeight="1" x14ac:dyDescent="0.3">
      <c r="T862" s="26"/>
    </row>
    <row r="863" spans="20:20" ht="20.100000000000001" customHeight="1" x14ac:dyDescent="0.3">
      <c r="T863" s="26"/>
    </row>
    <row r="864" spans="20:20" ht="20.100000000000001" customHeight="1" x14ac:dyDescent="0.3">
      <c r="T864" s="26"/>
    </row>
    <row r="865" spans="20:20" ht="20.100000000000001" customHeight="1" x14ac:dyDescent="0.3">
      <c r="T865" s="26"/>
    </row>
    <row r="866" spans="20:20" ht="20.100000000000001" customHeight="1" x14ac:dyDescent="0.3">
      <c r="T866" s="26"/>
    </row>
    <row r="867" spans="20:20" ht="20.100000000000001" customHeight="1" x14ac:dyDescent="0.3">
      <c r="T867" s="26"/>
    </row>
    <row r="868" spans="20:20" ht="20.100000000000001" customHeight="1" x14ac:dyDescent="0.3">
      <c r="T868" s="26"/>
    </row>
    <row r="869" spans="20:20" ht="20.100000000000001" customHeight="1" x14ac:dyDescent="0.3">
      <c r="T869" s="26"/>
    </row>
    <row r="870" spans="20:20" ht="20.100000000000001" customHeight="1" x14ac:dyDescent="0.3">
      <c r="T870" s="26"/>
    </row>
    <row r="871" spans="20:20" ht="20.100000000000001" customHeight="1" x14ac:dyDescent="0.3">
      <c r="T871" s="26"/>
    </row>
    <row r="872" spans="20:20" ht="20.100000000000001" customHeight="1" x14ac:dyDescent="0.3">
      <c r="T872" s="26"/>
    </row>
    <row r="873" spans="20:20" ht="20.100000000000001" customHeight="1" x14ac:dyDescent="0.3">
      <c r="T873" s="26"/>
    </row>
    <row r="874" spans="20:20" ht="20.100000000000001" customHeight="1" x14ac:dyDescent="0.3">
      <c r="T874" s="26"/>
    </row>
    <row r="875" spans="20:20" ht="20.100000000000001" customHeight="1" x14ac:dyDescent="0.3">
      <c r="T875" s="26"/>
    </row>
    <row r="876" spans="20:20" ht="20.100000000000001" customHeight="1" x14ac:dyDescent="0.3">
      <c r="T876" s="26"/>
    </row>
    <row r="877" spans="20:20" ht="20.100000000000001" customHeight="1" x14ac:dyDescent="0.3">
      <c r="T877" s="26"/>
    </row>
    <row r="878" spans="20:20" ht="20.100000000000001" customHeight="1" x14ac:dyDescent="0.3">
      <c r="T878" s="26"/>
    </row>
    <row r="879" spans="20:20" ht="20.100000000000001" customHeight="1" x14ac:dyDescent="0.3">
      <c r="T879" s="26"/>
    </row>
    <row r="880" spans="20:20" ht="20.100000000000001" customHeight="1" x14ac:dyDescent="0.3">
      <c r="T880" s="26"/>
    </row>
    <row r="881" spans="20:20" ht="20.100000000000001" customHeight="1" x14ac:dyDescent="0.3">
      <c r="T881" s="26"/>
    </row>
    <row r="882" spans="20:20" ht="20.100000000000001" customHeight="1" x14ac:dyDescent="0.3">
      <c r="T882" s="26"/>
    </row>
    <row r="883" spans="20:20" ht="20.100000000000001" customHeight="1" x14ac:dyDescent="0.3">
      <c r="T883" s="26"/>
    </row>
    <row r="884" spans="20:20" ht="20.100000000000001" customHeight="1" x14ac:dyDescent="0.3">
      <c r="T884" s="26"/>
    </row>
    <row r="885" spans="20:20" ht="20.100000000000001" customHeight="1" x14ac:dyDescent="0.3">
      <c r="T885" s="26"/>
    </row>
    <row r="886" spans="20:20" ht="20.100000000000001" customHeight="1" x14ac:dyDescent="0.3">
      <c r="T886" s="26"/>
    </row>
    <row r="887" spans="20:20" ht="20.100000000000001" customHeight="1" x14ac:dyDescent="0.3">
      <c r="T887" s="26"/>
    </row>
    <row r="888" spans="20:20" ht="20.100000000000001" customHeight="1" x14ac:dyDescent="0.3">
      <c r="T888" s="26"/>
    </row>
    <row r="889" spans="20:20" ht="20.100000000000001" customHeight="1" x14ac:dyDescent="0.3">
      <c r="T889" s="26"/>
    </row>
    <row r="890" spans="20:20" ht="20.100000000000001" customHeight="1" x14ac:dyDescent="0.3">
      <c r="T890" s="26"/>
    </row>
    <row r="891" spans="20:20" ht="20.100000000000001" customHeight="1" x14ac:dyDescent="0.3">
      <c r="T891" s="26"/>
    </row>
    <row r="892" spans="20:20" ht="20.100000000000001" customHeight="1" x14ac:dyDescent="0.3">
      <c r="T892" s="26"/>
    </row>
    <row r="893" spans="20:20" ht="20.100000000000001" customHeight="1" x14ac:dyDescent="0.3">
      <c r="T893" s="26"/>
    </row>
    <row r="894" spans="20:20" ht="20.100000000000001" customHeight="1" x14ac:dyDescent="0.3">
      <c r="T894" s="26"/>
    </row>
    <row r="895" spans="20:20" ht="20.100000000000001" customHeight="1" x14ac:dyDescent="0.3">
      <c r="T895" s="26"/>
    </row>
    <row r="896" spans="20:20" ht="20.100000000000001" customHeight="1" x14ac:dyDescent="0.3">
      <c r="T896" s="26"/>
    </row>
    <row r="897" spans="20:20" ht="20.100000000000001" customHeight="1" x14ac:dyDescent="0.3">
      <c r="T897" s="26"/>
    </row>
    <row r="898" spans="20:20" ht="20.100000000000001" customHeight="1" x14ac:dyDescent="0.3">
      <c r="T898" s="26"/>
    </row>
    <row r="899" spans="20:20" ht="20.100000000000001" customHeight="1" x14ac:dyDescent="0.3">
      <c r="T899" s="26"/>
    </row>
    <row r="900" spans="20:20" ht="20.100000000000001" customHeight="1" x14ac:dyDescent="0.3">
      <c r="T900" s="26"/>
    </row>
    <row r="901" spans="20:20" ht="20.100000000000001" customHeight="1" x14ac:dyDescent="0.3">
      <c r="T901" s="26"/>
    </row>
    <row r="902" spans="20:20" ht="20.100000000000001" customHeight="1" x14ac:dyDescent="0.3">
      <c r="T902" s="26"/>
    </row>
    <row r="903" spans="20:20" ht="20.100000000000001" customHeight="1" x14ac:dyDescent="0.3">
      <c r="T903" s="26"/>
    </row>
    <row r="904" spans="20:20" ht="20.100000000000001" customHeight="1" x14ac:dyDescent="0.3">
      <c r="T904" s="26"/>
    </row>
    <row r="905" spans="20:20" ht="20.100000000000001" customHeight="1" x14ac:dyDescent="0.3">
      <c r="T905" s="26"/>
    </row>
    <row r="906" spans="20:20" ht="20.100000000000001" customHeight="1" x14ac:dyDescent="0.3">
      <c r="T906" s="26"/>
    </row>
    <row r="907" spans="20:20" ht="20.100000000000001" customHeight="1" x14ac:dyDescent="0.3">
      <c r="T907" s="26"/>
    </row>
    <row r="908" spans="20:20" ht="20.100000000000001" customHeight="1" x14ac:dyDescent="0.3">
      <c r="T908" s="26"/>
    </row>
    <row r="909" spans="20:20" ht="20.100000000000001" customHeight="1" x14ac:dyDescent="0.3">
      <c r="T909" s="26"/>
    </row>
    <row r="910" spans="20:20" ht="20.100000000000001" customHeight="1" x14ac:dyDescent="0.3">
      <c r="T910" s="26"/>
    </row>
    <row r="911" spans="20:20" ht="20.100000000000001" customHeight="1" x14ac:dyDescent="0.3">
      <c r="T911" s="26"/>
    </row>
    <row r="912" spans="20:20" ht="20.100000000000001" customHeight="1" x14ac:dyDescent="0.3">
      <c r="T912" s="26"/>
    </row>
    <row r="913" spans="20:20" ht="20.100000000000001" customHeight="1" x14ac:dyDescent="0.3">
      <c r="T913" s="26"/>
    </row>
    <row r="914" spans="20:20" ht="20.100000000000001" customHeight="1" x14ac:dyDescent="0.3">
      <c r="T914" s="26"/>
    </row>
    <row r="915" spans="20:20" ht="20.100000000000001" customHeight="1" x14ac:dyDescent="0.3">
      <c r="T915" s="26"/>
    </row>
    <row r="916" spans="20:20" ht="20.100000000000001" customHeight="1" x14ac:dyDescent="0.3">
      <c r="T916" s="26"/>
    </row>
    <row r="917" spans="20:20" ht="20.100000000000001" customHeight="1" x14ac:dyDescent="0.3">
      <c r="T917" s="26"/>
    </row>
    <row r="918" spans="20:20" ht="20.100000000000001" customHeight="1" x14ac:dyDescent="0.3">
      <c r="T918" s="26"/>
    </row>
    <row r="919" spans="20:20" ht="20.100000000000001" customHeight="1" x14ac:dyDescent="0.3">
      <c r="T919" s="26"/>
    </row>
    <row r="920" spans="20:20" ht="20.100000000000001" customHeight="1" x14ac:dyDescent="0.3">
      <c r="T920" s="26"/>
    </row>
    <row r="921" spans="20:20" ht="20.100000000000001" customHeight="1" x14ac:dyDescent="0.3">
      <c r="T921" s="26"/>
    </row>
    <row r="922" spans="20:20" ht="20.100000000000001" customHeight="1" x14ac:dyDescent="0.3">
      <c r="T922" s="26"/>
    </row>
    <row r="923" spans="20:20" ht="20.100000000000001" customHeight="1" x14ac:dyDescent="0.3">
      <c r="T923" s="26"/>
    </row>
    <row r="924" spans="20:20" ht="20.100000000000001" customHeight="1" x14ac:dyDescent="0.3">
      <c r="T924" s="26"/>
    </row>
    <row r="925" spans="20:20" ht="20.100000000000001" customHeight="1" x14ac:dyDescent="0.3">
      <c r="T925" s="26"/>
    </row>
    <row r="926" spans="20:20" ht="20.100000000000001" customHeight="1" x14ac:dyDescent="0.3">
      <c r="T926" s="26"/>
    </row>
    <row r="927" spans="20:20" ht="20.100000000000001" customHeight="1" x14ac:dyDescent="0.3">
      <c r="T927" s="26"/>
    </row>
    <row r="928" spans="20:20" ht="20.100000000000001" customHeight="1" x14ac:dyDescent="0.3">
      <c r="T928" s="26"/>
    </row>
    <row r="929" spans="20:20" ht="20.100000000000001" customHeight="1" x14ac:dyDescent="0.3">
      <c r="T929" s="26"/>
    </row>
    <row r="930" spans="20:20" ht="20.100000000000001" customHeight="1" x14ac:dyDescent="0.3">
      <c r="T930" s="26"/>
    </row>
    <row r="931" spans="20:20" ht="20.100000000000001" customHeight="1" x14ac:dyDescent="0.3">
      <c r="T931" s="26"/>
    </row>
    <row r="932" spans="20:20" ht="20.100000000000001" customHeight="1" x14ac:dyDescent="0.3">
      <c r="T932" s="26"/>
    </row>
    <row r="933" spans="20:20" ht="20.100000000000001" customHeight="1" x14ac:dyDescent="0.3">
      <c r="T933" s="26"/>
    </row>
    <row r="934" spans="20:20" ht="20.100000000000001" customHeight="1" x14ac:dyDescent="0.3">
      <c r="T934" s="26"/>
    </row>
    <row r="935" spans="20:20" ht="20.100000000000001" customHeight="1" x14ac:dyDescent="0.3">
      <c r="T935" s="26"/>
    </row>
    <row r="936" spans="20:20" ht="20.100000000000001" customHeight="1" x14ac:dyDescent="0.3">
      <c r="T936" s="26"/>
    </row>
    <row r="937" spans="20:20" ht="20.100000000000001" customHeight="1" x14ac:dyDescent="0.3">
      <c r="T937" s="26"/>
    </row>
    <row r="938" spans="20:20" ht="20.100000000000001" customHeight="1" x14ac:dyDescent="0.3">
      <c r="T938" s="26"/>
    </row>
    <row r="939" spans="20:20" ht="20.100000000000001" customHeight="1" x14ac:dyDescent="0.3">
      <c r="T939" s="26"/>
    </row>
    <row r="940" spans="20:20" ht="20.100000000000001" customHeight="1" x14ac:dyDescent="0.3">
      <c r="T940" s="26"/>
    </row>
    <row r="941" spans="20:20" ht="20.100000000000001" customHeight="1" x14ac:dyDescent="0.3">
      <c r="T941" s="26"/>
    </row>
    <row r="942" spans="20:20" ht="20.100000000000001" customHeight="1" x14ac:dyDescent="0.3">
      <c r="T942" s="26"/>
    </row>
    <row r="943" spans="20:20" ht="20.100000000000001" customHeight="1" x14ac:dyDescent="0.3">
      <c r="T943" s="26"/>
    </row>
    <row r="944" spans="20:20" ht="20.100000000000001" customHeight="1" x14ac:dyDescent="0.3">
      <c r="T944" s="26"/>
    </row>
    <row r="945" spans="20:20" ht="20.100000000000001" customHeight="1" x14ac:dyDescent="0.3">
      <c r="T945" s="26"/>
    </row>
    <row r="946" spans="20:20" ht="20.100000000000001" customHeight="1" x14ac:dyDescent="0.3">
      <c r="T946" s="26"/>
    </row>
    <row r="947" spans="20:20" ht="20.100000000000001" customHeight="1" x14ac:dyDescent="0.3">
      <c r="T947" s="26"/>
    </row>
    <row r="948" spans="20:20" ht="20.100000000000001" customHeight="1" x14ac:dyDescent="0.3">
      <c r="T948" s="26"/>
    </row>
    <row r="949" spans="20:20" ht="20.100000000000001" customHeight="1" x14ac:dyDescent="0.3">
      <c r="T949" s="26"/>
    </row>
    <row r="950" spans="20:20" ht="20.100000000000001" customHeight="1" x14ac:dyDescent="0.3">
      <c r="T950" s="26"/>
    </row>
    <row r="951" spans="20:20" ht="20.100000000000001" customHeight="1" x14ac:dyDescent="0.3">
      <c r="T951" s="26"/>
    </row>
    <row r="952" spans="20:20" ht="20.100000000000001" customHeight="1" x14ac:dyDescent="0.3">
      <c r="T952" s="26"/>
    </row>
    <row r="953" spans="20:20" ht="20.100000000000001" customHeight="1" x14ac:dyDescent="0.3">
      <c r="T953" s="26"/>
    </row>
    <row r="954" spans="20:20" ht="20.100000000000001" customHeight="1" x14ac:dyDescent="0.3">
      <c r="T954" s="26"/>
    </row>
    <row r="955" spans="20:20" ht="20.100000000000001" customHeight="1" x14ac:dyDescent="0.3">
      <c r="T955" s="26"/>
    </row>
    <row r="956" spans="20:20" ht="20.100000000000001" customHeight="1" x14ac:dyDescent="0.3">
      <c r="T956" s="26"/>
    </row>
    <row r="957" spans="20:20" ht="20.100000000000001" customHeight="1" x14ac:dyDescent="0.3">
      <c r="T957" s="26"/>
    </row>
    <row r="958" spans="20:20" ht="20.100000000000001" customHeight="1" x14ac:dyDescent="0.3">
      <c r="T958" s="26"/>
    </row>
    <row r="959" spans="20:20" ht="20.100000000000001" customHeight="1" x14ac:dyDescent="0.3">
      <c r="T959" s="26"/>
    </row>
    <row r="960" spans="20:20" ht="20.100000000000001" customHeight="1" x14ac:dyDescent="0.3">
      <c r="T960" s="26"/>
    </row>
    <row r="961" spans="20:20" ht="20.100000000000001" customHeight="1" x14ac:dyDescent="0.3">
      <c r="T961" s="26"/>
    </row>
    <row r="962" spans="20:20" ht="20.100000000000001" customHeight="1" x14ac:dyDescent="0.3">
      <c r="T962" s="26"/>
    </row>
    <row r="963" spans="20:20" ht="20.100000000000001" customHeight="1" x14ac:dyDescent="0.3">
      <c r="T963" s="26"/>
    </row>
    <row r="964" spans="20:20" ht="20.100000000000001" customHeight="1" x14ac:dyDescent="0.3">
      <c r="T964" s="26"/>
    </row>
    <row r="965" spans="20:20" ht="20.100000000000001" customHeight="1" x14ac:dyDescent="0.3">
      <c r="T965" s="26"/>
    </row>
    <row r="966" spans="20:20" ht="20.100000000000001" customHeight="1" x14ac:dyDescent="0.3">
      <c r="T966" s="26"/>
    </row>
    <row r="967" spans="20:20" ht="20.100000000000001" customHeight="1" x14ac:dyDescent="0.3">
      <c r="T967" s="26"/>
    </row>
    <row r="968" spans="20:20" ht="20.100000000000001" customHeight="1" x14ac:dyDescent="0.3">
      <c r="T968" s="26"/>
    </row>
    <row r="969" spans="20:20" ht="20.100000000000001" customHeight="1" x14ac:dyDescent="0.3">
      <c r="T969" s="26"/>
    </row>
    <row r="970" spans="20:20" ht="20.100000000000001" customHeight="1" x14ac:dyDescent="0.3">
      <c r="T970" s="26"/>
    </row>
    <row r="971" spans="20:20" ht="20.100000000000001" customHeight="1" x14ac:dyDescent="0.3">
      <c r="T971" s="26"/>
    </row>
    <row r="972" spans="20:20" ht="20.100000000000001" customHeight="1" x14ac:dyDescent="0.3">
      <c r="T972" s="26"/>
    </row>
    <row r="973" spans="20:20" ht="20.100000000000001" customHeight="1" x14ac:dyDescent="0.3">
      <c r="T973" s="26"/>
    </row>
    <row r="974" spans="20:20" ht="20.100000000000001" customHeight="1" x14ac:dyDescent="0.3">
      <c r="T974" s="26"/>
    </row>
    <row r="975" spans="20:20" ht="20.100000000000001" customHeight="1" x14ac:dyDescent="0.3">
      <c r="T975" s="26"/>
    </row>
    <row r="976" spans="20:20" ht="20.100000000000001" customHeight="1" x14ac:dyDescent="0.3">
      <c r="T976" s="26"/>
    </row>
    <row r="977" spans="20:20" ht="20.100000000000001" customHeight="1" x14ac:dyDescent="0.3">
      <c r="T977" s="26"/>
    </row>
    <row r="978" spans="20:20" ht="20.100000000000001" customHeight="1" x14ac:dyDescent="0.3">
      <c r="T978" s="26"/>
    </row>
    <row r="979" spans="20:20" ht="20.100000000000001" customHeight="1" x14ac:dyDescent="0.3">
      <c r="T979" s="26"/>
    </row>
    <row r="980" spans="20:20" ht="20.100000000000001" customHeight="1" x14ac:dyDescent="0.3">
      <c r="T980" s="26"/>
    </row>
    <row r="981" spans="20:20" ht="20.100000000000001" customHeight="1" x14ac:dyDescent="0.3">
      <c r="T981" s="26"/>
    </row>
    <row r="982" spans="20:20" ht="20.100000000000001" customHeight="1" x14ac:dyDescent="0.3">
      <c r="T982" s="26"/>
    </row>
    <row r="983" spans="20:20" ht="20.100000000000001" customHeight="1" x14ac:dyDescent="0.3">
      <c r="T983" s="26"/>
    </row>
    <row r="984" spans="20:20" ht="20.100000000000001" customHeight="1" x14ac:dyDescent="0.3">
      <c r="T984" s="26"/>
    </row>
    <row r="985" spans="20:20" ht="20.100000000000001" customHeight="1" x14ac:dyDescent="0.3">
      <c r="T985" s="26"/>
    </row>
    <row r="986" spans="20:20" ht="20.100000000000001" customHeight="1" x14ac:dyDescent="0.3">
      <c r="T986" s="26"/>
    </row>
    <row r="987" spans="20:20" ht="20.100000000000001" customHeight="1" x14ac:dyDescent="0.3">
      <c r="T987" s="26"/>
    </row>
    <row r="988" spans="20:20" ht="20.100000000000001" customHeight="1" x14ac:dyDescent="0.3">
      <c r="T988" s="26"/>
    </row>
    <row r="989" spans="20:20" ht="20.100000000000001" customHeight="1" x14ac:dyDescent="0.3">
      <c r="T989" s="26"/>
    </row>
    <row r="990" spans="20:20" ht="20.100000000000001" customHeight="1" x14ac:dyDescent="0.3">
      <c r="T990" s="26"/>
    </row>
    <row r="991" spans="20:20" ht="20.100000000000001" customHeight="1" x14ac:dyDescent="0.3">
      <c r="T991" s="26"/>
    </row>
    <row r="992" spans="20:20" ht="20.100000000000001" customHeight="1" x14ac:dyDescent="0.3">
      <c r="T992" s="26"/>
    </row>
    <row r="993" spans="20:20" ht="20.100000000000001" customHeight="1" x14ac:dyDescent="0.3">
      <c r="T993" s="26"/>
    </row>
    <row r="994" spans="20:20" ht="20.100000000000001" customHeight="1" x14ac:dyDescent="0.3">
      <c r="T994" s="26"/>
    </row>
    <row r="995" spans="20:20" ht="20.100000000000001" customHeight="1" x14ac:dyDescent="0.3">
      <c r="T995" s="26"/>
    </row>
    <row r="996" spans="20:20" ht="20.100000000000001" customHeight="1" x14ac:dyDescent="0.3">
      <c r="T996" s="26"/>
    </row>
    <row r="997" spans="20:20" ht="20.100000000000001" customHeight="1" x14ac:dyDescent="0.3">
      <c r="T997" s="26"/>
    </row>
    <row r="998" spans="20:20" ht="20.100000000000001" customHeight="1" x14ac:dyDescent="0.3">
      <c r="T998" s="26"/>
    </row>
    <row r="999" spans="20:20" ht="20.100000000000001" customHeight="1" x14ac:dyDescent="0.3">
      <c r="T999" s="26"/>
    </row>
    <row r="1000" spans="20:20" ht="20.100000000000001" customHeight="1" x14ac:dyDescent="0.3">
      <c r="T1000" s="26"/>
    </row>
    <row r="1001" spans="20:20" ht="20.100000000000001" customHeight="1" x14ac:dyDescent="0.3">
      <c r="T1001" s="26"/>
    </row>
    <row r="1002" spans="20:20" ht="20.100000000000001" customHeight="1" x14ac:dyDescent="0.3">
      <c r="T1002" s="26"/>
    </row>
    <row r="1003" spans="20:20" ht="20.100000000000001" customHeight="1" x14ac:dyDescent="0.3">
      <c r="T1003" s="26"/>
    </row>
    <row r="1004" spans="20:20" ht="20.100000000000001" customHeight="1" x14ac:dyDescent="0.3">
      <c r="T1004" s="26"/>
    </row>
    <row r="1005" spans="20:20" ht="20.100000000000001" customHeight="1" x14ac:dyDescent="0.3">
      <c r="T1005" s="26"/>
    </row>
    <row r="1006" spans="20:20" ht="20.100000000000001" customHeight="1" x14ac:dyDescent="0.3">
      <c r="T1006" s="26"/>
    </row>
    <row r="1007" spans="20:20" ht="20.100000000000001" customHeight="1" x14ac:dyDescent="0.3">
      <c r="T1007" s="26"/>
    </row>
    <row r="1008" spans="20:20" ht="20.100000000000001" customHeight="1" x14ac:dyDescent="0.3">
      <c r="T1008" s="26"/>
    </row>
    <row r="1009" spans="20:20" ht="20.100000000000001" customHeight="1" x14ac:dyDescent="0.3">
      <c r="T1009" s="26"/>
    </row>
    <row r="1010" spans="20:20" ht="20.100000000000001" customHeight="1" x14ac:dyDescent="0.3">
      <c r="T1010" s="26"/>
    </row>
    <row r="1011" spans="20:20" ht="20.100000000000001" customHeight="1" x14ac:dyDescent="0.3">
      <c r="T1011" s="26"/>
    </row>
    <row r="1012" spans="20:20" ht="20.100000000000001" customHeight="1" x14ac:dyDescent="0.3">
      <c r="T1012" s="26"/>
    </row>
    <row r="1013" spans="20:20" ht="20.100000000000001" customHeight="1" x14ac:dyDescent="0.3">
      <c r="T1013" s="26"/>
    </row>
    <row r="1014" spans="20:20" ht="20.100000000000001" customHeight="1" x14ac:dyDescent="0.3">
      <c r="T1014" s="26"/>
    </row>
    <row r="1015" spans="20:20" ht="20.100000000000001" customHeight="1" x14ac:dyDescent="0.3">
      <c r="T1015" s="26"/>
    </row>
    <row r="1016" spans="20:20" ht="20.100000000000001" customHeight="1" x14ac:dyDescent="0.3">
      <c r="T1016" s="26"/>
    </row>
    <row r="1017" spans="20:20" ht="20.100000000000001" customHeight="1" x14ac:dyDescent="0.3">
      <c r="T1017" s="26"/>
    </row>
    <row r="1018" spans="20:20" ht="20.100000000000001" customHeight="1" x14ac:dyDescent="0.3">
      <c r="T1018" s="26"/>
    </row>
    <row r="1019" spans="20:20" ht="20.100000000000001" customHeight="1" x14ac:dyDescent="0.3">
      <c r="T1019" s="26"/>
    </row>
    <row r="1020" spans="20:20" ht="20.100000000000001" customHeight="1" x14ac:dyDescent="0.3">
      <c r="T1020" s="26"/>
    </row>
    <row r="1021" spans="20:20" ht="20.100000000000001" customHeight="1" x14ac:dyDescent="0.3">
      <c r="T1021" s="26"/>
    </row>
    <row r="1022" spans="20:20" ht="20.100000000000001" customHeight="1" x14ac:dyDescent="0.3">
      <c r="T1022" s="26"/>
    </row>
    <row r="1023" spans="20:20" ht="20.100000000000001" customHeight="1" x14ac:dyDescent="0.3">
      <c r="T1023" s="26"/>
    </row>
    <row r="1024" spans="20:20" ht="20.100000000000001" customHeight="1" x14ac:dyDescent="0.3">
      <c r="T1024" s="26"/>
    </row>
    <row r="1025" spans="20:20" ht="20.100000000000001" customHeight="1" x14ac:dyDescent="0.3">
      <c r="T1025" s="26"/>
    </row>
    <row r="1026" spans="20:20" ht="20.100000000000001" customHeight="1" x14ac:dyDescent="0.3">
      <c r="T1026" s="26"/>
    </row>
    <row r="1027" spans="20:20" ht="20.100000000000001" customHeight="1" x14ac:dyDescent="0.3">
      <c r="T1027" s="26"/>
    </row>
    <row r="1028" spans="20:20" ht="20.100000000000001" customHeight="1" x14ac:dyDescent="0.3">
      <c r="T1028" s="26"/>
    </row>
    <row r="1029" spans="20:20" ht="20.100000000000001" customHeight="1" x14ac:dyDescent="0.3">
      <c r="T1029" s="26"/>
    </row>
    <row r="1030" spans="20:20" ht="20.100000000000001" customHeight="1" x14ac:dyDescent="0.3">
      <c r="T1030" s="26"/>
    </row>
    <row r="1031" spans="20:20" ht="20.100000000000001" customHeight="1" x14ac:dyDescent="0.3">
      <c r="T1031" s="26"/>
    </row>
    <row r="1032" spans="20:20" ht="20.100000000000001" customHeight="1" x14ac:dyDescent="0.3">
      <c r="T1032" s="26"/>
    </row>
    <row r="1033" spans="20:20" x14ac:dyDescent="0.3">
      <c r="T1033" s="26"/>
    </row>
    <row r="1034" spans="20:20" x14ac:dyDescent="0.3">
      <c r="T1034" s="26"/>
    </row>
    <row r="1035" spans="20:20" x14ac:dyDescent="0.3">
      <c r="T1035" s="26"/>
    </row>
    <row r="1036" spans="20:20" x14ac:dyDescent="0.3">
      <c r="T1036" s="26"/>
    </row>
    <row r="1037" spans="20:20" x14ac:dyDescent="0.3">
      <c r="T1037" s="26"/>
    </row>
    <row r="1038" spans="20:20" x14ac:dyDescent="0.3">
      <c r="T1038" s="26"/>
    </row>
    <row r="1039" spans="20:20" x14ac:dyDescent="0.3">
      <c r="T1039" s="26"/>
    </row>
    <row r="1040" spans="20:20" x14ac:dyDescent="0.3">
      <c r="T1040" s="2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099C-B0BA-4ED4-B595-D6FB3A1C0C43}">
  <dimension ref="A1:B127"/>
  <sheetViews>
    <sheetView rightToLeft="1" workbookViewId="0">
      <selection activeCell="E10" sqref="E10"/>
    </sheetView>
  </sheetViews>
  <sheetFormatPr defaultRowHeight="14.4" x14ac:dyDescent="0.3"/>
  <cols>
    <col min="1" max="1" width="30" bestFit="1" customWidth="1"/>
    <col min="2" max="2" width="34.109375" bestFit="1" customWidth="1"/>
  </cols>
  <sheetData>
    <row r="1" spans="1:2" x14ac:dyDescent="0.3">
      <c r="A1" s="69" t="s">
        <v>337</v>
      </c>
      <c r="B1" s="69" t="s">
        <v>338</v>
      </c>
    </row>
    <row r="2" spans="1:2" x14ac:dyDescent="0.3">
      <c r="A2" t="s">
        <v>13</v>
      </c>
      <c r="B2" t="s">
        <v>339</v>
      </c>
    </row>
    <row r="3" spans="1:2" x14ac:dyDescent="0.3">
      <c r="A3" t="s">
        <v>18</v>
      </c>
      <c r="B3" t="s">
        <v>340</v>
      </c>
    </row>
    <row r="4" spans="1:2" x14ac:dyDescent="0.3">
      <c r="A4" t="s">
        <v>341</v>
      </c>
      <c r="B4" t="s">
        <v>342</v>
      </c>
    </row>
    <row r="5" spans="1:2" x14ac:dyDescent="0.3">
      <c r="A5" t="s">
        <v>115</v>
      </c>
      <c r="B5" t="s">
        <v>343</v>
      </c>
    </row>
    <row r="6" spans="1:2" x14ac:dyDescent="0.3">
      <c r="A6" t="s">
        <v>341</v>
      </c>
      <c r="B6" t="s">
        <v>342</v>
      </c>
    </row>
    <row r="8" spans="1:2" x14ac:dyDescent="0.3">
      <c r="A8" t="s">
        <v>33</v>
      </c>
      <c r="B8" t="s">
        <v>344</v>
      </c>
    </row>
    <row r="9" spans="1:2" x14ac:dyDescent="0.3">
      <c r="A9" t="s">
        <v>276</v>
      </c>
      <c r="B9" t="s">
        <v>339</v>
      </c>
    </row>
    <row r="10" spans="1:2" x14ac:dyDescent="0.3">
      <c r="A10" t="s">
        <v>41</v>
      </c>
      <c r="B10" t="s">
        <v>344</v>
      </c>
    </row>
    <row r="11" spans="1:2" x14ac:dyDescent="0.3">
      <c r="A11" t="s">
        <v>41</v>
      </c>
      <c r="B11" t="s">
        <v>344</v>
      </c>
    </row>
    <row r="12" spans="1:2" x14ac:dyDescent="0.3">
      <c r="A12" t="s">
        <v>41</v>
      </c>
      <c r="B12" t="s">
        <v>344</v>
      </c>
    </row>
    <row r="13" spans="1:2" x14ac:dyDescent="0.3">
      <c r="A13" t="s">
        <v>41</v>
      </c>
      <c r="B13" t="s">
        <v>344</v>
      </c>
    </row>
    <row r="14" spans="1:2" x14ac:dyDescent="0.3">
      <c r="A14" t="s">
        <v>48</v>
      </c>
      <c r="B14" t="s">
        <v>344</v>
      </c>
    </row>
    <row r="15" spans="1:2" x14ac:dyDescent="0.3">
      <c r="A15" t="s">
        <v>276</v>
      </c>
      <c r="B15" t="s">
        <v>339</v>
      </c>
    </row>
    <row r="16" spans="1:2" x14ac:dyDescent="0.3">
      <c r="A16" t="s">
        <v>345</v>
      </c>
      <c r="B16" t="s">
        <v>344</v>
      </c>
    </row>
    <row r="17" spans="1:2" x14ac:dyDescent="0.3">
      <c r="A17" t="s">
        <v>33</v>
      </c>
      <c r="B17" t="s">
        <v>344</v>
      </c>
    </row>
    <row r="18" spans="1:2" x14ac:dyDescent="0.3">
      <c r="A18" t="s">
        <v>33</v>
      </c>
      <c r="B18" t="s">
        <v>344</v>
      </c>
    </row>
    <row r="19" spans="1:2" x14ac:dyDescent="0.3">
      <c r="A19" t="s">
        <v>346</v>
      </c>
      <c r="B19" t="s">
        <v>344</v>
      </c>
    </row>
    <row r="20" spans="1:2" x14ac:dyDescent="0.3">
      <c r="A20" t="s">
        <v>66</v>
      </c>
      <c r="B20" t="s">
        <v>344</v>
      </c>
    </row>
    <row r="21" spans="1:2" x14ac:dyDescent="0.3">
      <c r="A21" t="s">
        <v>41</v>
      </c>
      <c r="B21" t="s">
        <v>344</v>
      </c>
    </row>
    <row r="22" spans="1:2" x14ac:dyDescent="0.3">
      <c r="A22" t="s">
        <v>66</v>
      </c>
      <c r="B22" t="s">
        <v>344</v>
      </c>
    </row>
    <row r="23" spans="1:2" x14ac:dyDescent="0.3">
      <c r="A23" t="s">
        <v>66</v>
      </c>
      <c r="B23" t="s">
        <v>344</v>
      </c>
    </row>
    <row r="24" spans="1:2" x14ac:dyDescent="0.3">
      <c r="A24" t="s">
        <v>66</v>
      </c>
      <c r="B24" t="s">
        <v>344</v>
      </c>
    </row>
    <row r="25" spans="1:2" x14ac:dyDescent="0.3">
      <c r="A25" t="s">
        <v>105</v>
      </c>
      <c r="B25" t="s">
        <v>344</v>
      </c>
    </row>
    <row r="26" spans="1:2" x14ac:dyDescent="0.3">
      <c r="A26" t="s">
        <v>276</v>
      </c>
      <c r="B26" t="s">
        <v>339</v>
      </c>
    </row>
    <row r="29" spans="1:2" x14ac:dyDescent="0.3">
      <c r="A29" t="s">
        <v>347</v>
      </c>
      <c r="B29" t="s">
        <v>348</v>
      </c>
    </row>
    <row r="30" spans="1:2" x14ac:dyDescent="0.3">
      <c r="A30" t="s">
        <v>347</v>
      </c>
      <c r="B30" t="s">
        <v>348</v>
      </c>
    </row>
    <row r="31" spans="1:2" x14ac:dyDescent="0.3">
      <c r="A31" t="s">
        <v>347</v>
      </c>
      <c r="B31" t="s">
        <v>348</v>
      </c>
    </row>
    <row r="32" spans="1:2" x14ac:dyDescent="0.3">
      <c r="A32" t="s">
        <v>347</v>
      </c>
      <c r="B32" t="s">
        <v>348</v>
      </c>
    </row>
    <row r="33" spans="1:2" x14ac:dyDescent="0.3">
      <c r="A33" t="s">
        <v>142</v>
      </c>
      <c r="B33" t="s">
        <v>349</v>
      </c>
    </row>
    <row r="34" spans="1:2" x14ac:dyDescent="0.3">
      <c r="A34" t="s">
        <v>350</v>
      </c>
      <c r="B34" t="s">
        <v>340</v>
      </c>
    </row>
    <row r="35" spans="1:2" x14ac:dyDescent="0.3">
      <c r="A35" t="s">
        <v>276</v>
      </c>
      <c r="B35" t="s">
        <v>339</v>
      </c>
    </row>
    <row r="36" spans="1:2" x14ac:dyDescent="0.3">
      <c r="A36" t="s">
        <v>308</v>
      </c>
      <c r="B36" t="s">
        <v>344</v>
      </c>
    </row>
    <row r="37" spans="1:2" x14ac:dyDescent="0.3">
      <c r="A37" t="s">
        <v>351</v>
      </c>
      <c r="B37" t="s">
        <v>339</v>
      </c>
    </row>
    <row r="38" spans="1:2" x14ac:dyDescent="0.3">
      <c r="A38" t="s">
        <v>66</v>
      </c>
      <c r="B38" t="s">
        <v>344</v>
      </c>
    </row>
    <row r="39" spans="1:2" x14ac:dyDescent="0.3">
      <c r="A39" t="s">
        <v>66</v>
      </c>
      <c r="B39" t="s">
        <v>344</v>
      </c>
    </row>
    <row r="40" spans="1:2" x14ac:dyDescent="0.3">
      <c r="A40" t="s">
        <v>276</v>
      </c>
      <c r="B40" t="s">
        <v>339</v>
      </c>
    </row>
    <row r="41" spans="1:2" x14ac:dyDescent="0.3">
      <c r="A41" t="s">
        <v>352</v>
      </c>
      <c r="B41" t="s">
        <v>344</v>
      </c>
    </row>
    <row r="42" spans="1:2" x14ac:dyDescent="0.3">
      <c r="A42" t="s">
        <v>353</v>
      </c>
      <c r="B42" t="s">
        <v>339</v>
      </c>
    </row>
    <row r="43" spans="1:2" x14ac:dyDescent="0.3">
      <c r="A43" t="s">
        <v>353</v>
      </c>
      <c r="B43" t="s">
        <v>339</v>
      </c>
    </row>
    <row r="44" spans="1:2" x14ac:dyDescent="0.3">
      <c r="A44" t="s">
        <v>86</v>
      </c>
      <c r="B44" t="s">
        <v>344</v>
      </c>
    </row>
    <row r="45" spans="1:2" x14ac:dyDescent="0.3">
      <c r="A45" t="s">
        <v>115</v>
      </c>
      <c r="B45" t="s">
        <v>343</v>
      </c>
    </row>
    <row r="46" spans="1:2" x14ac:dyDescent="0.3">
      <c r="A46" t="s">
        <v>354</v>
      </c>
      <c r="B46" t="s">
        <v>349</v>
      </c>
    </row>
    <row r="47" spans="1:2" x14ac:dyDescent="0.3">
      <c r="A47" t="s">
        <v>276</v>
      </c>
      <c r="B47" t="s">
        <v>339</v>
      </c>
    </row>
    <row r="48" spans="1:2" x14ac:dyDescent="0.3">
      <c r="A48" t="s">
        <v>66</v>
      </c>
      <c r="B48" t="s">
        <v>344</v>
      </c>
    </row>
    <row r="49" spans="1:2" x14ac:dyDescent="0.3">
      <c r="A49" t="s">
        <v>276</v>
      </c>
      <c r="B49" t="s">
        <v>339</v>
      </c>
    </row>
    <row r="50" spans="1:2" x14ac:dyDescent="0.3">
      <c r="A50" t="s">
        <v>105</v>
      </c>
      <c r="B50" t="s">
        <v>344</v>
      </c>
    </row>
    <row r="51" spans="1:2" x14ac:dyDescent="0.3">
      <c r="A51" t="s">
        <v>137</v>
      </c>
      <c r="B51" t="s">
        <v>339</v>
      </c>
    </row>
    <row r="52" spans="1:2" x14ac:dyDescent="0.3">
      <c r="A52" t="s">
        <v>345</v>
      </c>
      <c r="B52" t="s">
        <v>344</v>
      </c>
    </row>
    <row r="53" spans="1:2" x14ac:dyDescent="0.3">
      <c r="A53" t="s">
        <v>276</v>
      </c>
      <c r="B53" t="s">
        <v>339</v>
      </c>
    </row>
    <row r="54" spans="1:2" x14ac:dyDescent="0.3">
      <c r="A54" t="s">
        <v>355</v>
      </c>
      <c r="B54" t="s">
        <v>339</v>
      </c>
    </row>
    <row r="55" spans="1:2" x14ac:dyDescent="0.3">
      <c r="A55" t="s">
        <v>86</v>
      </c>
      <c r="B55" t="s">
        <v>344</v>
      </c>
    </row>
    <row r="56" spans="1:2" x14ac:dyDescent="0.3">
      <c r="A56" t="s">
        <v>127</v>
      </c>
      <c r="B56" t="s">
        <v>344</v>
      </c>
    </row>
    <row r="57" spans="1:2" x14ac:dyDescent="0.3">
      <c r="A57" t="s">
        <v>127</v>
      </c>
      <c r="B57" t="s">
        <v>344</v>
      </c>
    </row>
    <row r="58" spans="1:2" x14ac:dyDescent="0.3">
      <c r="A58" t="s">
        <v>66</v>
      </c>
      <c r="B58" t="s">
        <v>344</v>
      </c>
    </row>
    <row r="59" spans="1:2" x14ac:dyDescent="0.3">
      <c r="A59" t="s">
        <v>66</v>
      </c>
      <c r="B59" t="s">
        <v>344</v>
      </c>
    </row>
    <row r="60" spans="1:2" x14ac:dyDescent="0.3">
      <c r="A60" t="s">
        <v>133</v>
      </c>
      <c r="B60" t="s">
        <v>348</v>
      </c>
    </row>
    <row r="61" spans="1:2" x14ac:dyDescent="0.3">
      <c r="A61" t="s">
        <v>356</v>
      </c>
      <c r="B61" t="s">
        <v>357</v>
      </c>
    </row>
    <row r="62" spans="1:2" x14ac:dyDescent="0.3">
      <c r="A62" t="s">
        <v>115</v>
      </c>
      <c r="B62" t="s">
        <v>343</v>
      </c>
    </row>
    <row r="63" spans="1:2" x14ac:dyDescent="0.3">
      <c r="A63" t="s">
        <v>86</v>
      </c>
      <c r="B63" t="s">
        <v>344</v>
      </c>
    </row>
    <row r="64" spans="1:2" x14ac:dyDescent="0.3">
      <c r="A64" t="s">
        <v>66</v>
      </c>
      <c r="B64" t="s">
        <v>344</v>
      </c>
    </row>
    <row r="65" spans="1:2" x14ac:dyDescent="0.3">
      <c r="A65" t="s">
        <v>345</v>
      </c>
      <c r="B65" t="s">
        <v>344</v>
      </c>
    </row>
    <row r="66" spans="1:2" x14ac:dyDescent="0.3">
      <c r="A66" t="s">
        <v>182</v>
      </c>
      <c r="B66" t="s">
        <v>344</v>
      </c>
    </row>
    <row r="67" spans="1:2" x14ac:dyDescent="0.3">
      <c r="A67" t="s">
        <v>182</v>
      </c>
      <c r="B67" t="s">
        <v>344</v>
      </c>
    </row>
    <row r="68" spans="1:2" x14ac:dyDescent="0.3">
      <c r="A68" t="s">
        <v>184</v>
      </c>
      <c r="B68" t="s">
        <v>344</v>
      </c>
    </row>
    <row r="69" spans="1:2" x14ac:dyDescent="0.3">
      <c r="A69" t="s">
        <v>142</v>
      </c>
      <c r="B69" t="s">
        <v>349</v>
      </c>
    </row>
    <row r="70" spans="1:2" x14ac:dyDescent="0.3">
      <c r="A70" t="s">
        <v>358</v>
      </c>
      <c r="B70" t="s">
        <v>348</v>
      </c>
    </row>
    <row r="71" spans="1:2" x14ac:dyDescent="0.3">
      <c r="A71" t="s">
        <v>41</v>
      </c>
      <c r="B71" t="s">
        <v>344</v>
      </c>
    </row>
    <row r="72" spans="1:2" x14ac:dyDescent="0.3">
      <c r="A72" t="s">
        <v>41</v>
      </c>
      <c r="B72" t="s">
        <v>344</v>
      </c>
    </row>
    <row r="73" spans="1:2" x14ac:dyDescent="0.3">
      <c r="A73" t="s">
        <v>41</v>
      </c>
      <c r="B73" t="s">
        <v>344</v>
      </c>
    </row>
    <row r="74" spans="1:2" x14ac:dyDescent="0.3">
      <c r="A74" t="s">
        <v>202</v>
      </c>
      <c r="B74" t="s">
        <v>339</v>
      </c>
    </row>
    <row r="75" spans="1:2" x14ac:dyDescent="0.3">
      <c r="A75" t="s">
        <v>228</v>
      </c>
      <c r="B75" t="s">
        <v>344</v>
      </c>
    </row>
    <row r="78" spans="1:2" x14ac:dyDescent="0.3">
      <c r="A78" t="s">
        <v>358</v>
      </c>
      <c r="B78" t="s">
        <v>348</v>
      </c>
    </row>
    <row r="79" spans="1:2" x14ac:dyDescent="0.3">
      <c r="A79" t="s">
        <v>210</v>
      </c>
      <c r="B79" t="s">
        <v>349</v>
      </c>
    </row>
    <row r="80" spans="1:2" x14ac:dyDescent="0.3">
      <c r="A80" t="s">
        <v>210</v>
      </c>
      <c r="B80" t="s">
        <v>349</v>
      </c>
    </row>
    <row r="81" spans="1:2" x14ac:dyDescent="0.3">
      <c r="A81" t="s">
        <v>210</v>
      </c>
      <c r="B81" t="s">
        <v>349</v>
      </c>
    </row>
    <row r="82" spans="1:2" x14ac:dyDescent="0.3">
      <c r="A82" t="s">
        <v>210</v>
      </c>
      <c r="B82" t="s">
        <v>349</v>
      </c>
    </row>
    <row r="83" spans="1:2" x14ac:dyDescent="0.3">
      <c r="A83" t="s">
        <v>220</v>
      </c>
      <c r="B83" t="s">
        <v>344</v>
      </c>
    </row>
    <row r="84" spans="1:2" x14ac:dyDescent="0.3">
      <c r="A84" t="s">
        <v>222</v>
      </c>
      <c r="B84" t="s">
        <v>359</v>
      </c>
    </row>
    <row r="85" spans="1:2" x14ac:dyDescent="0.3">
      <c r="A85" t="s">
        <v>360</v>
      </c>
      <c r="B85" t="s">
        <v>339</v>
      </c>
    </row>
    <row r="87" spans="1:2" x14ac:dyDescent="0.3">
      <c r="A87" t="s">
        <v>66</v>
      </c>
      <c r="B87" t="s">
        <v>344</v>
      </c>
    </row>
    <row r="88" spans="1:2" x14ac:dyDescent="0.3">
      <c r="A88" t="s">
        <v>48</v>
      </c>
      <c r="B88" t="s">
        <v>344</v>
      </c>
    </row>
    <row r="89" spans="1:2" x14ac:dyDescent="0.3">
      <c r="A89" t="s">
        <v>236</v>
      </c>
      <c r="B89" t="s">
        <v>340</v>
      </c>
    </row>
    <row r="90" spans="1:2" x14ac:dyDescent="0.3">
      <c r="A90" t="s">
        <v>240</v>
      </c>
      <c r="B90" t="s">
        <v>344</v>
      </c>
    </row>
    <row r="91" spans="1:2" x14ac:dyDescent="0.3">
      <c r="A91" t="s">
        <v>202</v>
      </c>
      <c r="B91" t="s">
        <v>339</v>
      </c>
    </row>
    <row r="92" spans="1:2" x14ac:dyDescent="0.3">
      <c r="A92" t="s">
        <v>202</v>
      </c>
      <c r="B92" t="s">
        <v>339</v>
      </c>
    </row>
    <row r="93" spans="1:2" x14ac:dyDescent="0.3">
      <c r="A93" t="s">
        <v>246</v>
      </c>
      <c r="B93" t="s">
        <v>344</v>
      </c>
    </row>
    <row r="94" spans="1:2" x14ac:dyDescent="0.3">
      <c r="A94" t="s">
        <v>249</v>
      </c>
      <c r="B94" t="s">
        <v>339</v>
      </c>
    </row>
    <row r="97" spans="1:2" x14ac:dyDescent="0.3">
      <c r="A97" t="s">
        <v>250</v>
      </c>
      <c r="B97" t="s">
        <v>339</v>
      </c>
    </row>
    <row r="98" spans="1:2" x14ac:dyDescent="0.3">
      <c r="A98" t="s">
        <v>250</v>
      </c>
      <c r="B98" t="s">
        <v>339</v>
      </c>
    </row>
    <row r="99" spans="1:2" x14ac:dyDescent="0.3">
      <c r="A99" t="s">
        <v>105</v>
      </c>
      <c r="B99" t="s">
        <v>344</v>
      </c>
    </row>
    <row r="100" spans="1:2" x14ac:dyDescent="0.3">
      <c r="A100" t="s">
        <v>105</v>
      </c>
      <c r="B100" t="s">
        <v>344</v>
      </c>
    </row>
    <row r="101" spans="1:2" x14ac:dyDescent="0.3">
      <c r="A101" t="s">
        <v>262</v>
      </c>
      <c r="B101" t="s">
        <v>344</v>
      </c>
    </row>
    <row r="102" spans="1:2" x14ac:dyDescent="0.3">
      <c r="A102" t="s">
        <v>222</v>
      </c>
      <c r="B102" t="s">
        <v>359</v>
      </c>
    </row>
    <row r="103" spans="1:2" x14ac:dyDescent="0.3">
      <c r="A103" t="s">
        <v>33</v>
      </c>
      <c r="B103" t="s">
        <v>344</v>
      </c>
    </row>
    <row r="104" spans="1:2" x14ac:dyDescent="0.3">
      <c r="A104" t="s">
        <v>358</v>
      </c>
      <c r="B104" t="s">
        <v>348</v>
      </c>
    </row>
    <row r="105" spans="1:2" x14ac:dyDescent="0.3">
      <c r="A105" t="s">
        <v>105</v>
      </c>
      <c r="B105" t="s">
        <v>344</v>
      </c>
    </row>
    <row r="106" spans="1:2" x14ac:dyDescent="0.3">
      <c r="A106" t="s">
        <v>33</v>
      </c>
      <c r="B106" t="s">
        <v>344</v>
      </c>
    </row>
    <row r="107" spans="1:2" x14ac:dyDescent="0.3">
      <c r="A107" t="s">
        <v>358</v>
      </c>
      <c r="B107" t="s">
        <v>348</v>
      </c>
    </row>
    <row r="108" spans="1:2" x14ac:dyDescent="0.3">
      <c r="A108" t="s">
        <v>270</v>
      </c>
      <c r="B108" t="s">
        <v>359</v>
      </c>
    </row>
    <row r="109" spans="1:2" x14ac:dyDescent="0.3">
      <c r="A109" t="s">
        <v>276</v>
      </c>
      <c r="B109" t="s">
        <v>339</v>
      </c>
    </row>
    <row r="110" spans="1:2" x14ac:dyDescent="0.3">
      <c r="A110" t="s">
        <v>276</v>
      </c>
      <c r="B110" t="s">
        <v>339</v>
      </c>
    </row>
    <row r="111" spans="1:2" x14ac:dyDescent="0.3">
      <c r="A111" t="s">
        <v>41</v>
      </c>
      <c r="B111" t="s">
        <v>344</v>
      </c>
    </row>
    <row r="112" spans="1:2" x14ac:dyDescent="0.3">
      <c r="A112" t="s">
        <v>48</v>
      </c>
      <c r="B112" t="s">
        <v>344</v>
      </c>
    </row>
    <row r="113" spans="1:2" x14ac:dyDescent="0.3">
      <c r="A113" t="s">
        <v>361</v>
      </c>
      <c r="B113" t="s">
        <v>344</v>
      </c>
    </row>
    <row r="114" spans="1:2" x14ac:dyDescent="0.3">
      <c r="A114" t="s">
        <v>41</v>
      </c>
      <c r="B114" t="s">
        <v>344</v>
      </c>
    </row>
    <row r="115" spans="1:2" x14ac:dyDescent="0.3">
      <c r="A115" t="s">
        <v>362</v>
      </c>
      <c r="B115" t="s">
        <v>340</v>
      </c>
    </row>
    <row r="116" spans="1:2" x14ac:dyDescent="0.3">
      <c r="A116" t="s">
        <v>346</v>
      </c>
      <c r="B116" t="s">
        <v>344</v>
      </c>
    </row>
    <row r="117" spans="1:2" x14ac:dyDescent="0.3">
      <c r="A117" t="s">
        <v>297</v>
      </c>
      <c r="B117" t="s">
        <v>340</v>
      </c>
    </row>
    <row r="118" spans="1:2" x14ac:dyDescent="0.3">
      <c r="A118" t="s">
        <v>66</v>
      </c>
      <c r="B118" t="s">
        <v>344</v>
      </c>
    </row>
    <row r="119" spans="1:2" x14ac:dyDescent="0.3">
      <c r="A119" t="s">
        <v>66</v>
      </c>
      <c r="B119" t="s">
        <v>344</v>
      </c>
    </row>
    <row r="120" spans="1:2" x14ac:dyDescent="0.3">
      <c r="A120" t="s">
        <v>142</v>
      </c>
      <c r="B120" t="s">
        <v>349</v>
      </c>
    </row>
    <row r="121" spans="1:2" x14ac:dyDescent="0.3">
      <c r="A121" t="s">
        <v>308</v>
      </c>
      <c r="B121" t="s">
        <v>344</v>
      </c>
    </row>
    <row r="122" spans="1:2" x14ac:dyDescent="0.3">
      <c r="A122" t="s">
        <v>358</v>
      </c>
      <c r="B122" t="s">
        <v>348</v>
      </c>
    </row>
    <row r="123" spans="1:2" x14ac:dyDescent="0.3">
      <c r="A123" t="s">
        <v>133</v>
      </c>
      <c r="B123" t="s">
        <v>348</v>
      </c>
    </row>
    <row r="124" spans="1:2" x14ac:dyDescent="0.3">
      <c r="A124" t="s">
        <v>363</v>
      </c>
      <c r="B124" t="s">
        <v>344</v>
      </c>
    </row>
    <row r="125" spans="1:2" x14ac:dyDescent="0.3">
      <c r="A125" t="s">
        <v>66</v>
      </c>
      <c r="B125" t="s">
        <v>344</v>
      </c>
    </row>
    <row r="126" spans="1:2" x14ac:dyDescent="0.3">
      <c r="A126" t="s">
        <v>276</v>
      </c>
      <c r="B126" t="s">
        <v>339</v>
      </c>
    </row>
    <row r="127" spans="1:2" x14ac:dyDescent="0.3">
      <c r="A127" t="s">
        <v>222</v>
      </c>
      <c r="B127" t="s">
        <v>359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30AE95-F91E-478B-9E95-D8BA5BE7243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الارشادات</vt:lpstr>
      <vt:lpstr>البيانات</vt:lpstr>
      <vt:lpstr>Pivot tables</vt:lpstr>
      <vt:lpstr>البيانات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Amr Shaaban</cp:lastModifiedBy>
  <dcterms:created xsi:type="dcterms:W3CDTF">2015-06-05T18:17:20Z</dcterms:created>
  <dcterms:modified xsi:type="dcterms:W3CDTF">2026-09-01T18:15:59Z</dcterms:modified>
</cp:coreProperties>
</file>